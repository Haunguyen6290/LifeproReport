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6. LEARN_\Tailieu_Lifepro\"/>
    </mc:Choice>
  </mc:AlternateContent>
  <xr:revisionPtr revIDLastSave="0" documentId="13_ncr:1_{4BDC4968-BA28-4C73-9D36-46EE3D63D8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ỔNG HỢP TỒN KHO" sheetId="1" r:id="rId1"/>
  </sheets>
  <externalReferences>
    <externalReference r:id="rId2"/>
  </externalReferences>
  <definedNames>
    <definedName name="_xlnm._FilterDatabase" localSheetId="0" hidden="1">'TỔNG HỢP TỒN KHO'!$A$5:$Q$233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2" i="1" l="1"/>
  <c r="O182" i="1"/>
  <c r="O233" i="1"/>
  <c r="O184" i="1"/>
  <c r="O171" i="1"/>
  <c r="O159" i="1"/>
  <c r="O147" i="1"/>
  <c r="O64" i="1"/>
  <c r="O63" i="1"/>
  <c r="O58" i="1"/>
  <c r="O55" i="1"/>
  <c r="O54" i="1"/>
  <c r="O40" i="1"/>
  <c r="O39" i="1"/>
  <c r="O36" i="1"/>
  <c r="O30" i="1"/>
  <c r="O27" i="1"/>
  <c r="O22" i="1"/>
  <c r="O21" i="1"/>
  <c r="O20" i="1"/>
  <c r="O19" i="1"/>
  <c r="O18" i="1"/>
  <c r="O17" i="1"/>
  <c r="O16" i="1"/>
  <c r="O15" i="1"/>
  <c r="O14" i="1"/>
  <c r="O13" i="1"/>
  <c r="O12" i="1"/>
  <c r="O11" i="1"/>
  <c r="O75" i="1" l="1"/>
  <c r="O99" i="1"/>
  <c r="O51" i="1"/>
  <c r="O135" i="1"/>
  <c r="O83" i="1"/>
  <c r="O87" i="1"/>
  <c r="O111" i="1"/>
  <c r="O123" i="1"/>
  <c r="O41" i="1"/>
  <c r="O69" i="1"/>
  <c r="O26" i="1"/>
  <c r="O38" i="1"/>
  <c r="O50" i="1"/>
  <c r="O62" i="1"/>
  <c r="O74" i="1"/>
  <c r="O86" i="1"/>
  <c r="O98" i="1"/>
  <c r="O110" i="1"/>
  <c r="O122" i="1"/>
  <c r="O134" i="1"/>
  <c r="O146" i="1"/>
  <c r="O158" i="1"/>
  <c r="O170" i="1"/>
  <c r="O183" i="1"/>
  <c r="O28" i="1"/>
  <c r="O100" i="1"/>
  <c r="O112" i="1"/>
  <c r="O124" i="1"/>
  <c r="O136" i="1"/>
  <c r="O148" i="1"/>
  <c r="O160" i="1"/>
  <c r="O172" i="1"/>
  <c r="O186" i="1"/>
  <c r="O65" i="1"/>
  <c r="O77" i="1"/>
  <c r="O89" i="1"/>
  <c r="O101" i="1"/>
  <c r="O113" i="1"/>
  <c r="O125" i="1"/>
  <c r="O137" i="1"/>
  <c r="O149" i="1"/>
  <c r="O161" i="1"/>
  <c r="O173" i="1"/>
  <c r="O192" i="1"/>
  <c r="O88" i="1"/>
  <c r="O6" i="1"/>
  <c r="O42" i="1"/>
  <c r="O66" i="1"/>
  <c r="O78" i="1"/>
  <c r="O90" i="1"/>
  <c r="O102" i="1"/>
  <c r="O114" i="1"/>
  <c r="O126" i="1"/>
  <c r="O138" i="1"/>
  <c r="O150" i="1"/>
  <c r="O162" i="1"/>
  <c r="O174" i="1"/>
  <c r="O193" i="1"/>
  <c r="O43" i="1"/>
  <c r="O79" i="1"/>
  <c r="O91" i="1"/>
  <c r="O103" i="1"/>
  <c r="O115" i="1"/>
  <c r="O127" i="1"/>
  <c r="O139" i="1"/>
  <c r="O151" i="1"/>
  <c r="O163" i="1"/>
  <c r="O176" i="1"/>
  <c r="O195" i="1"/>
  <c r="O218" i="1"/>
  <c r="O53" i="1"/>
  <c r="O31" i="1"/>
  <c r="O67" i="1"/>
  <c r="O8" i="1"/>
  <c r="O32" i="1"/>
  <c r="O44" i="1"/>
  <c r="O56" i="1"/>
  <c r="O68" i="1"/>
  <c r="O80" i="1"/>
  <c r="O92" i="1"/>
  <c r="O104" i="1"/>
  <c r="O116" i="1"/>
  <c r="O128" i="1"/>
  <c r="O140" i="1"/>
  <c r="O152" i="1"/>
  <c r="O164" i="1"/>
  <c r="O177" i="1"/>
  <c r="O205" i="1"/>
  <c r="O9" i="1"/>
  <c r="O81" i="1"/>
  <c r="O93" i="1"/>
  <c r="O105" i="1"/>
  <c r="O117" i="1"/>
  <c r="O129" i="1"/>
  <c r="O141" i="1"/>
  <c r="O153" i="1"/>
  <c r="O165" i="1"/>
  <c r="O178" i="1"/>
  <c r="O207" i="1"/>
  <c r="O76" i="1"/>
  <c r="O33" i="1"/>
  <c r="O34" i="1"/>
  <c r="O70" i="1"/>
  <c r="O82" i="1"/>
  <c r="O94" i="1"/>
  <c r="O106" i="1"/>
  <c r="O118" i="1"/>
  <c r="O130" i="1"/>
  <c r="O142" i="1"/>
  <c r="O154" i="1"/>
  <c r="O166" i="1"/>
  <c r="O179" i="1"/>
  <c r="O219" i="1"/>
  <c r="O95" i="1"/>
  <c r="O107" i="1"/>
  <c r="O119" i="1"/>
  <c r="O131" i="1"/>
  <c r="O143" i="1"/>
  <c r="O155" i="1"/>
  <c r="O167" i="1"/>
  <c r="O180" i="1"/>
  <c r="O7" i="1"/>
  <c r="O45" i="1"/>
  <c r="O46" i="1"/>
  <c r="O23" i="1"/>
  <c r="O47" i="1"/>
  <c r="O59" i="1"/>
  <c r="O71" i="1"/>
  <c r="O24" i="1"/>
  <c r="O48" i="1"/>
  <c r="O60" i="1"/>
  <c r="O72" i="1"/>
  <c r="O84" i="1"/>
  <c r="O96" i="1"/>
  <c r="O108" i="1"/>
  <c r="O120" i="1"/>
  <c r="O132" i="1"/>
  <c r="O144" i="1"/>
  <c r="O156" i="1"/>
  <c r="O168" i="1"/>
  <c r="O181" i="1"/>
  <c r="O29" i="1"/>
  <c r="O57" i="1"/>
  <c r="O10" i="1"/>
  <c r="O35" i="1"/>
  <c r="O25" i="1"/>
  <c r="O37" i="1"/>
  <c r="O49" i="1"/>
  <c r="O61" i="1"/>
  <c r="O73" i="1"/>
  <c r="O85" i="1"/>
  <c r="O97" i="1"/>
  <c r="O109" i="1"/>
  <c r="O121" i="1"/>
  <c r="O133" i="1"/>
  <c r="O145" i="1"/>
  <c r="O157" i="1"/>
  <c r="O169" i="1"/>
  <c r="O196" i="1"/>
  <c r="O208" i="1"/>
  <c r="O220" i="1"/>
  <c r="O185" i="1"/>
  <c r="O197" i="1"/>
  <c r="O209" i="1"/>
  <c r="O227" i="1"/>
  <c r="O198" i="1"/>
  <c r="O210" i="1"/>
  <c r="O228" i="1"/>
  <c r="O175" i="1"/>
  <c r="O187" i="1"/>
  <c r="O199" i="1"/>
  <c r="O211" i="1"/>
  <c r="O188" i="1"/>
  <c r="O200" i="1"/>
  <c r="O212" i="1"/>
  <c r="O189" i="1"/>
  <c r="O201" i="1"/>
  <c r="O213" i="1"/>
  <c r="O190" i="1"/>
  <c r="O202" i="1"/>
  <c r="O214" i="1"/>
  <c r="O191" i="1"/>
  <c r="O203" i="1"/>
  <c r="O215" i="1"/>
  <c r="O204" i="1"/>
  <c r="O216" i="1"/>
  <c r="O217" i="1"/>
  <c r="O225" i="1"/>
  <c r="O194" i="1"/>
  <c r="O206" i="1"/>
  <c r="O226" i="1"/>
  <c r="O229" i="1"/>
  <c r="O230" i="1"/>
  <c r="O231" i="1"/>
  <c r="O232" i="1"/>
  <c r="O221" i="1"/>
  <c r="O222" i="1"/>
  <c r="O223" i="1"/>
  <c r="O224" i="1"/>
</calcChain>
</file>

<file path=xl/sharedStrings.xml><?xml version="1.0" encoding="utf-8"?>
<sst xmlns="http://schemas.openxmlformats.org/spreadsheetml/2006/main" count="1393" uniqueCount="620">
  <si>
    <t>TỔNG HỢP TỒN KHO</t>
  </si>
  <si>
    <t>Từ ngày 23/09/2026 đến ngày 30/09/2026</t>
  </si>
  <si>
    <t>Tên kho</t>
  </si>
  <si>
    <t>Mã kho</t>
  </si>
  <si>
    <t>Mã hàng</t>
  </si>
  <si>
    <t>Ma_ThamChieu</t>
  </si>
  <si>
    <t>Tên hàng</t>
  </si>
  <si>
    <t>ĐVT</t>
  </si>
  <si>
    <t>Nguồn gốc</t>
  </si>
  <si>
    <t>Số lượng</t>
  </si>
  <si>
    <t>Giá trị</t>
  </si>
  <si>
    <t>Tồn thuế</t>
  </si>
  <si>
    <t>SL_ThamChieu</t>
  </si>
  <si>
    <t>Hàng hóa</t>
  </si>
  <si>
    <t>156</t>
  </si>
  <si>
    <t>2022- L566</t>
  </si>
  <si>
    <t>L566-PS</t>
  </si>
  <si>
    <t>Bộ cảm biến cảnh báo va chạm trước, sau dùng cho xe ô tô, Hiệu : Lifepro, Model:L566-PS</t>
  </si>
  <si>
    <t>Bộ</t>
  </si>
  <si>
    <t>2022- L575</t>
  </si>
  <si>
    <t>L575-PS</t>
  </si>
  <si>
    <t>Bộ cảm biến cảnh báo va chạm trước, sau dùng cho xe ô tô, Hiệu : Lifepro, Model:L575-PS</t>
  </si>
  <si>
    <t>2022-L906</t>
  </si>
  <si>
    <t>L906</t>
  </si>
  <si>
    <t>Dây sạc pin điện thoại di động, Mã hàng:L906</t>
  </si>
  <si>
    <t>Cái</t>
  </si>
  <si>
    <t>2023-L616</t>
  </si>
  <si>
    <t>BOXER-616</t>
  </si>
  <si>
    <t>Bơm không khí dùng điện. Model: BOXER-616, Hiệu: Lifepro</t>
  </si>
  <si>
    <t>2024-AP611</t>
  </si>
  <si>
    <t>CHANCAICLEARX</t>
  </si>
  <si>
    <t>Chân bắt của cần gạt nước có gắn cao su, KHSP: AP611, Nhãn hiệu: CLEARX</t>
  </si>
  <si>
    <t>Chiếc</t>
  </si>
  <si>
    <t>2024-ECO05</t>
  </si>
  <si>
    <t>Màng phim cửa sổ,Nhãn hiệu:Hypergard,KHSP:ECO05</t>
  </si>
  <si>
    <t>Cuộn</t>
  </si>
  <si>
    <t>2024-ECO20</t>
  </si>
  <si>
    <t>Màng phim cửa sổ,Nhãn hiệu:Hypergard,KHSP:ECO20</t>
  </si>
  <si>
    <t>2024-HP10</t>
  </si>
  <si>
    <t>Màng phim cửa sổ,Nhãn hiệu:Hypergard,KHSP:HP10</t>
  </si>
  <si>
    <t>2024-HP20</t>
  </si>
  <si>
    <t>Màng phim cửa sổ,Nhãn hiệu:Hypergard,KHSP:HP20</t>
  </si>
  <si>
    <t>2024-HP60</t>
  </si>
  <si>
    <t>Màng phim cửa sổ,Nhãn hiệu:Hypergard,KHSP:HP60</t>
  </si>
  <si>
    <t>2024-L686</t>
  </si>
  <si>
    <t>Bộ cáp kích nổ xe ô tô L686</t>
  </si>
  <si>
    <t>2024-LX15</t>
  </si>
  <si>
    <t>Màng phim cửa sổ,Nhãn hiệu:Hypergard,KHSP:LX15</t>
  </si>
  <si>
    <t>2024-LX35</t>
  </si>
  <si>
    <t>Màng phim cửa sổ,Nhãn hiệu:Hypergard,KHSP:LX35</t>
  </si>
  <si>
    <t>2024-LX65</t>
  </si>
  <si>
    <t>Màng phim cửa sổ,Nhãn hiệu:Hypergard,KHSP:LX65</t>
  </si>
  <si>
    <t>2024-PM10</t>
  </si>
  <si>
    <t>Màng phim cửa sổ,Nhãn hiệu:Hypergard,KHSP:PM10</t>
  </si>
  <si>
    <t>2024-PM15</t>
  </si>
  <si>
    <t>Màng phim cửa sổ,Nhãn hiệu:Hypergard,KHSP:PM15</t>
  </si>
  <si>
    <t>2024-PM50</t>
  </si>
  <si>
    <t>Màng phim cửa sổ,Nhãn hiệu:Hypergard,KHSP:PM50</t>
  </si>
  <si>
    <t>2025-8-MEGA</t>
  </si>
  <si>
    <t>MEGAVISION</t>
  </si>
  <si>
    <t>Cần gạt nước có gắn cao su, KHSP: Mega vision</t>
  </si>
  <si>
    <t>2025-HIPAS-S782(8)</t>
  </si>
  <si>
    <t>S782SG</t>
  </si>
  <si>
    <t>Còi ô tô Model: S782-SG, nhãn hiệu Hipas</t>
  </si>
  <si>
    <t>2025-NRK(10%)</t>
  </si>
  <si>
    <t>NRK</t>
  </si>
  <si>
    <t>Nước rửa kính ô tô</t>
  </si>
  <si>
    <t>Lít</t>
  </si>
  <si>
    <t>2025-RS23(10)</t>
  </si>
  <si>
    <t>RS23</t>
  </si>
  <si>
    <t>Dây cáp sạc điện thoại thông minh RS23, Nhãn hiệu: Recci</t>
  </si>
  <si>
    <t>601-RJ</t>
  </si>
  <si>
    <t>L601-RJ</t>
  </si>
  <si>
    <t>Máy bơm không khí sử dụng cho xe ô tô, Model:601-RJ</t>
  </si>
  <si>
    <t>602-RJ</t>
  </si>
  <si>
    <t>L602-RJ</t>
  </si>
  <si>
    <t>Máy bơm không khí sử dụng cho xe ô tô, Model:602-RJ</t>
  </si>
  <si>
    <t>609-AT</t>
  </si>
  <si>
    <t>L609AT</t>
  </si>
  <si>
    <t>Máy bơm không khí sử dụng cho xe ô tô, Model:609-AT</t>
  </si>
  <si>
    <t>ART003</t>
  </si>
  <si>
    <t>Bọc vô lăng thương hiệu KORIS ART003</t>
  </si>
  <si>
    <t>ASL- SMART SAFE</t>
  </si>
  <si>
    <t>TPMS</t>
  </si>
  <si>
    <t>Bộ cảm biến áp suất lốp xe ô tô SMARTSAFE, Hiệu: Lifepro</t>
  </si>
  <si>
    <t>AUCL-A109</t>
  </si>
  <si>
    <t>A109</t>
  </si>
  <si>
    <t>Chắn mưa A109</t>
  </si>
  <si>
    <t>AUCL-C456</t>
  </si>
  <si>
    <t>C456</t>
  </si>
  <si>
    <t>Ốp đèn C456</t>
  </si>
  <si>
    <t>AUCL-D614</t>
  </si>
  <si>
    <t>D614</t>
  </si>
  <si>
    <t>Chắn mưa D614</t>
  </si>
  <si>
    <t>AUCL-E032</t>
  </si>
  <si>
    <t>E032</t>
  </si>
  <si>
    <t>Chắn mưa E032</t>
  </si>
  <si>
    <t>AUCL-GUN5P</t>
  </si>
  <si>
    <t>Công tắc khóa cửa, KHSP: GUN5P, Nhãn hiệu: Lifepro GUN5P</t>
  </si>
  <si>
    <t>BOXMAXA65</t>
  </si>
  <si>
    <t>Hộp điều khiển màn hình ô tô Android Box, Model: A65</t>
  </si>
  <si>
    <t>F9 BLACKHAWK TRICOLOR</t>
  </si>
  <si>
    <t>F9TRICOLOR</t>
  </si>
  <si>
    <t>Đèn gầm 3 màu cho ô tô chở người, Model: F9 BLACKHAWK TRICOLOR</t>
  </si>
  <si>
    <t>Khiển cửa</t>
  </si>
  <si>
    <t>KHIENCUA</t>
  </si>
  <si>
    <t>Hộp điều khiển khóa cửa ô tô, Hiệu: Lifepro</t>
  </si>
  <si>
    <t>L630Special</t>
  </si>
  <si>
    <t>Cảm biến áp suất lốp cho ôtô Smart Safe (có màn hình cảnh báo), Model:L630</t>
  </si>
  <si>
    <t>L635Android</t>
  </si>
  <si>
    <t>Cảm biến áp suất lốp cho ôtô Smart Safe (có màn hình cảnh báo), Model:L635</t>
  </si>
  <si>
    <t>L638Standard</t>
  </si>
  <si>
    <t>Cảm biến áp suất lốp cho ôtô Smart Safe (có màn hình cảnh báo), Model:L638</t>
  </si>
  <si>
    <t>L956(10)TM</t>
  </si>
  <si>
    <t>L956</t>
  </si>
  <si>
    <t>Bộ cáp kích nổ xe ô tô L956, nhãn hiệu: Lifepro</t>
  </si>
  <si>
    <t>LPGC</t>
  </si>
  <si>
    <t>GOICO</t>
  </si>
  <si>
    <t>Gối cổ du lịch hình chữ U, hiệu Lifepro</t>
  </si>
  <si>
    <t>MAX VISION</t>
  </si>
  <si>
    <t>MAXVISION</t>
  </si>
  <si>
    <t>Cần gạt nước có gắn cao su, KHSP: MAX VISION 1, Hiệu: CLEARX</t>
  </si>
  <si>
    <t>MSG-L338OT(8)</t>
  </si>
  <si>
    <t>L338OT</t>
  </si>
  <si>
    <t>Máy lọc không khí và khử mùi ô tô, KH: L338-OT (Kèm Linh kiện)</t>
  </si>
  <si>
    <t>NRKCLEARX</t>
  </si>
  <si>
    <t>Nước rửa kính chắn gió xe ô tô Clear Supreme</t>
  </si>
  <si>
    <t>Chai</t>
  </si>
  <si>
    <t>NRKTMSG</t>
  </si>
  <si>
    <t>Nước rửa kính ( 2 lít/ túi )</t>
  </si>
  <si>
    <t>P316(8)</t>
  </si>
  <si>
    <t>P316</t>
  </si>
  <si>
    <t>Máy bơm không khí Model:P316</t>
  </si>
  <si>
    <t>RHOC43(10)</t>
  </si>
  <si>
    <t>RHOC43</t>
  </si>
  <si>
    <t>Củ sạc không dây tích hợp đế giữ điện thoại trên ô tô RHOC43, nhãn hiệu : Recci</t>
  </si>
  <si>
    <t>RS12</t>
  </si>
  <si>
    <t>Dây cáp sạc điện thoại thông minh RS12, nhãn hiệu : Recci</t>
  </si>
  <si>
    <t>S689-SG</t>
  </si>
  <si>
    <t>S689SG</t>
  </si>
  <si>
    <t>Còi S689-SG</t>
  </si>
  <si>
    <t>SH201SMARTHOLDER</t>
  </si>
  <si>
    <t>Giá đỡ điện thoại trên ôtô SH201, Hiệu: Lifepro</t>
  </si>
  <si>
    <t>SP588(8)</t>
  </si>
  <si>
    <t>Máy bơm không khí Model:SP588</t>
  </si>
  <si>
    <t>SP588(8)-TMG</t>
  </si>
  <si>
    <t>SP588SMARTPOWER</t>
  </si>
  <si>
    <t>Máy bơm không khí sử dụng cho xe ô tô SMART POWER, Model: SP588</t>
  </si>
  <si>
    <t>T600</t>
  </si>
  <si>
    <t>Bảng số điện thoại lắp trên táp lô ô tô SMART TAG T600, Hiệu: Lifepro</t>
  </si>
  <si>
    <t>Tem QrCode</t>
  </si>
  <si>
    <t>Tem Qrcode pincode decal vỡ hình chữ nhật 3cm*1.5C</t>
  </si>
  <si>
    <t>ULTRA VISION</t>
  </si>
  <si>
    <t>ULTRAVISION</t>
  </si>
  <si>
    <t>Cần gạt nước có gắn cao su, KHSP: ULTRA VISION 1, Hiệu: CLEARX</t>
  </si>
  <si>
    <t>VDH L267</t>
  </si>
  <si>
    <t>L267</t>
  </si>
  <si>
    <t>Đệm ghế xe ô tô L267-CS</t>
  </si>
  <si>
    <t>W100S</t>
  </si>
  <si>
    <t>CAMW100S</t>
  </si>
  <si>
    <t>Màn hình hiển thị thông tin trên ô tô, W100S, Nhãn hiệu: Maxviss</t>
  </si>
  <si>
    <t>W15MINI</t>
  </si>
  <si>
    <t>CAMW15MINI</t>
  </si>
  <si>
    <t>Màn hình hiển thị thông tin trên ô tô, KHSP: W15MINI, Nhãn hiệu: Maxviss</t>
  </si>
  <si>
    <t>W2K</t>
  </si>
  <si>
    <t>CAMW2K</t>
  </si>
  <si>
    <t>Màn hình hiển thị thông tin trên ô tô, KHSP: W2K, Nhãn hiệu: Maxviss</t>
  </si>
  <si>
    <t>W300</t>
  </si>
  <si>
    <t>CAMW300</t>
  </si>
  <si>
    <t>Màn hình hiển thị thông tin trên ô tô, W300, Nhãn hiệu: Maxviss</t>
  </si>
  <si>
    <t>W500S</t>
  </si>
  <si>
    <t>CAMW500S</t>
  </si>
  <si>
    <t>Màn hình hiển thị thông tin trên ô tô, W500S, Nhãn hiệu: Maxviss</t>
  </si>
  <si>
    <t>X128</t>
  </si>
  <si>
    <t>X128SMARTBOX</t>
  </si>
  <si>
    <t>Hộp điều khiển màn hình ô tô SMART BOX X128, Hiệu: Lifepro</t>
  </si>
  <si>
    <t>X64</t>
  </si>
  <si>
    <t>X64SMARTBOX</t>
  </si>
  <si>
    <t>Hộp điều khiển màn hình ô tô SMART BOX X64, Hiệu: Lifepro</t>
  </si>
  <si>
    <t>Hàng hóa AUTO CLOVER</t>
  </si>
  <si>
    <t>156-ACL</t>
  </si>
  <si>
    <t>AUCL-A064</t>
  </si>
  <si>
    <t>A064</t>
  </si>
  <si>
    <t>Chắn mưa A064</t>
  </si>
  <si>
    <t>AUCL-A096</t>
  </si>
  <si>
    <t>A096</t>
  </si>
  <si>
    <t>Chắn mưa A096</t>
  </si>
  <si>
    <t>AUCL-A111</t>
  </si>
  <si>
    <t>A111</t>
  </si>
  <si>
    <t>Chắn mưa A111</t>
  </si>
  <si>
    <t>AUCL-A123</t>
  </si>
  <si>
    <t>A123</t>
  </si>
  <si>
    <t>Chắn mưa A123</t>
  </si>
  <si>
    <t>AUCL-A140</t>
  </si>
  <si>
    <t>A140</t>
  </si>
  <si>
    <t>Chắn mưa A140</t>
  </si>
  <si>
    <t>AUCL-A161</t>
  </si>
  <si>
    <t>A161</t>
  </si>
  <si>
    <t>Chắn mưa A161</t>
  </si>
  <si>
    <t>AUCL-A254</t>
  </si>
  <si>
    <t>A254</t>
  </si>
  <si>
    <t>Ốp trang trí  A254</t>
  </si>
  <si>
    <t>AUCL-A293</t>
  </si>
  <si>
    <t>A293</t>
  </si>
  <si>
    <t>Ốp tay mở cửa A293</t>
  </si>
  <si>
    <t>AUCL-A294</t>
  </si>
  <si>
    <t>A294</t>
  </si>
  <si>
    <t>Ốp trang trí A294</t>
  </si>
  <si>
    <t>AUCL-A319</t>
  </si>
  <si>
    <t>A319</t>
  </si>
  <si>
    <t>Ốp trang trí A319</t>
  </si>
  <si>
    <t>AUCL-A395</t>
  </si>
  <si>
    <t>A395</t>
  </si>
  <si>
    <t>Ốp đèn A395</t>
  </si>
  <si>
    <t>AUCL-A454</t>
  </si>
  <si>
    <t>A454</t>
  </si>
  <si>
    <t>Chắn mưa A454</t>
  </si>
  <si>
    <t>AUCL-A463</t>
  </si>
  <si>
    <t>A463</t>
  </si>
  <si>
    <t>Chắn mưa A463</t>
  </si>
  <si>
    <t>AUCL-A465</t>
  </si>
  <si>
    <t>A465</t>
  </si>
  <si>
    <t>Chắn mưa A465</t>
  </si>
  <si>
    <t>AUCL-A471</t>
  </si>
  <si>
    <t>A471</t>
  </si>
  <si>
    <t>Chắn mưa A471</t>
  </si>
  <si>
    <t>AUCL-A486</t>
  </si>
  <si>
    <t>A486</t>
  </si>
  <si>
    <t>Chắn mưa A486</t>
  </si>
  <si>
    <t>AUCL-A770</t>
  </si>
  <si>
    <t>A770</t>
  </si>
  <si>
    <t>Ốp gương A770</t>
  </si>
  <si>
    <t>AUCL-A917</t>
  </si>
  <si>
    <t>A917</t>
  </si>
  <si>
    <t>Ốp nẹp kính cánh cửa A917</t>
  </si>
  <si>
    <t>AUCL-A918</t>
  </si>
  <si>
    <t>A918</t>
  </si>
  <si>
    <t>Ốp nẹp kính cánh cửa A918</t>
  </si>
  <si>
    <t>AUCL-B379</t>
  </si>
  <si>
    <t>B379</t>
  </si>
  <si>
    <t>Chắn mưa B379</t>
  </si>
  <si>
    <t>AUCL-B406</t>
  </si>
  <si>
    <t>B406</t>
  </si>
  <si>
    <t>Ốp chân gương B406</t>
  </si>
  <si>
    <t>AUCL-B408</t>
  </si>
  <si>
    <t>B408</t>
  </si>
  <si>
    <t>Ốp chân gương B408</t>
  </si>
  <si>
    <t>AUCL-B498</t>
  </si>
  <si>
    <t>B498</t>
  </si>
  <si>
    <t>Chắn mưa B498</t>
  </si>
  <si>
    <t>AUCL-C028</t>
  </si>
  <si>
    <t>C028</t>
  </si>
  <si>
    <t>Chắn mưa C028</t>
  </si>
  <si>
    <t>AUCL-C166</t>
  </si>
  <si>
    <t>C166</t>
  </si>
  <si>
    <t>Ốp ca lăng C166</t>
  </si>
  <si>
    <t>AUCL-C197</t>
  </si>
  <si>
    <t>C197</t>
  </si>
  <si>
    <t>Ốp nắp ca bô trước C197</t>
  </si>
  <si>
    <t>AUCL-C204</t>
  </si>
  <si>
    <t>C204</t>
  </si>
  <si>
    <t>Ốp tai xe C204</t>
  </si>
  <si>
    <t>AUCL-C307(1)</t>
  </si>
  <si>
    <t>C307</t>
  </si>
  <si>
    <t>Ốp trụ cửa C307</t>
  </si>
  <si>
    <t>AUCL-C393</t>
  </si>
  <si>
    <t>C393</t>
  </si>
  <si>
    <t>Ốp trang trí xe C393</t>
  </si>
  <si>
    <t>AUCL-C394</t>
  </si>
  <si>
    <t>C394</t>
  </si>
  <si>
    <t>Ốp trang trí xe C394</t>
  </si>
  <si>
    <t>AUCL-C459</t>
  </si>
  <si>
    <t>C459</t>
  </si>
  <si>
    <t>Ốp đèn C459</t>
  </si>
  <si>
    <t>AUCL-C527</t>
  </si>
  <si>
    <t>C527</t>
  </si>
  <si>
    <t>Chắn mưa C527</t>
  </si>
  <si>
    <t>AUCL-C572</t>
  </si>
  <si>
    <t>C572</t>
  </si>
  <si>
    <t>Chắn mưa C572</t>
  </si>
  <si>
    <t>AUCL-C587</t>
  </si>
  <si>
    <t>C587</t>
  </si>
  <si>
    <t>Chắn mưa C587</t>
  </si>
  <si>
    <t>AUCL-C625</t>
  </si>
  <si>
    <t>C625</t>
  </si>
  <si>
    <t>Ốp trang trí tay mở cửa  C625</t>
  </si>
  <si>
    <t>AUCL-C720</t>
  </si>
  <si>
    <t>C720</t>
  </si>
  <si>
    <t>Ốp trang trí cần gạt mưa trước  C720</t>
  </si>
  <si>
    <t>AUCL-C724</t>
  </si>
  <si>
    <t>C724</t>
  </si>
  <si>
    <t>Ốp trang trí xe C724</t>
  </si>
  <si>
    <t>AUCL-C890</t>
  </si>
  <si>
    <t>C890</t>
  </si>
  <si>
    <t>Ốp trang trí C890</t>
  </si>
  <si>
    <t>AUCL-D015</t>
  </si>
  <si>
    <t>D015</t>
  </si>
  <si>
    <t>Chắn mưa D015</t>
  </si>
  <si>
    <t>AUCL-D048</t>
  </si>
  <si>
    <t>D048</t>
  </si>
  <si>
    <t>Chắn mưa D048</t>
  </si>
  <si>
    <t>AUCL-D054</t>
  </si>
  <si>
    <t>D054</t>
  </si>
  <si>
    <t>Chắn mưa D054</t>
  </si>
  <si>
    <t>AUCL-D070</t>
  </si>
  <si>
    <t>D070</t>
  </si>
  <si>
    <t>Chắn mưa D070</t>
  </si>
  <si>
    <t>AUCL-D476</t>
  </si>
  <si>
    <t>D476</t>
  </si>
  <si>
    <t>Ốp nẹp kính cánh cửa D476</t>
  </si>
  <si>
    <t>AUCL-D617</t>
  </si>
  <si>
    <t>D617</t>
  </si>
  <si>
    <t>Chắn mưa D617</t>
  </si>
  <si>
    <t>AUCL-D622</t>
  </si>
  <si>
    <t>D622</t>
  </si>
  <si>
    <t>Chắn mưa D622</t>
  </si>
  <si>
    <t>AUCL-D632</t>
  </si>
  <si>
    <t>D632</t>
  </si>
  <si>
    <t>Chắn mưa D632</t>
  </si>
  <si>
    <t>AUCL-D635</t>
  </si>
  <si>
    <t>D635</t>
  </si>
  <si>
    <t>Chắn mưa D635</t>
  </si>
  <si>
    <t>AUCL-D637</t>
  </si>
  <si>
    <t>D637</t>
  </si>
  <si>
    <t>Chắn mưa D637</t>
  </si>
  <si>
    <t>AUCL-D688</t>
  </si>
  <si>
    <t>D688</t>
  </si>
  <si>
    <t>Chắn mưa D688</t>
  </si>
  <si>
    <t>AUCL-D693</t>
  </si>
  <si>
    <t>D693</t>
  </si>
  <si>
    <t>Chắn mưa D693</t>
  </si>
  <si>
    <t>AUCL-D711</t>
  </si>
  <si>
    <t>D711</t>
  </si>
  <si>
    <t>Chắn mưa D711</t>
  </si>
  <si>
    <t>AUCL-D717</t>
  </si>
  <si>
    <t>D717</t>
  </si>
  <si>
    <t>Chắn mưa D717</t>
  </si>
  <si>
    <t>AUCL-D723</t>
  </si>
  <si>
    <t>D723</t>
  </si>
  <si>
    <t>Chắn mưa D723</t>
  </si>
  <si>
    <t>AUCL-D741</t>
  </si>
  <si>
    <t>D741</t>
  </si>
  <si>
    <t>Chắn mưa D741</t>
  </si>
  <si>
    <t>AUCL-D742</t>
  </si>
  <si>
    <t>D742</t>
  </si>
  <si>
    <t>Chắn mưa D742</t>
  </si>
  <si>
    <t>AUCL-D761</t>
  </si>
  <si>
    <t>D761</t>
  </si>
  <si>
    <t>Chắn mưa D761</t>
  </si>
  <si>
    <t>AUCL-D775</t>
  </si>
  <si>
    <t>D775</t>
  </si>
  <si>
    <t>Chắn mưa D775</t>
  </si>
  <si>
    <t>AUCL-D997</t>
  </si>
  <si>
    <t>D997</t>
  </si>
  <si>
    <t>Chắn mưa D997</t>
  </si>
  <si>
    <t>AUCL-E050</t>
  </si>
  <si>
    <t>E050</t>
  </si>
  <si>
    <t>Chắn mưa E050</t>
  </si>
  <si>
    <t>AUCL-E054</t>
  </si>
  <si>
    <t>E054</t>
  </si>
  <si>
    <t>Chắn mưa E054</t>
  </si>
  <si>
    <t>AUCL-E073</t>
  </si>
  <si>
    <t>E073</t>
  </si>
  <si>
    <t>Chắn mưa E073</t>
  </si>
  <si>
    <t>AUCL-E074</t>
  </si>
  <si>
    <t>E074</t>
  </si>
  <si>
    <t>Chắn mưa E074</t>
  </si>
  <si>
    <t>AUCL-E077</t>
  </si>
  <si>
    <t>E077</t>
  </si>
  <si>
    <t>Chắn mưa E077</t>
  </si>
  <si>
    <t>AUCL-E082</t>
  </si>
  <si>
    <t>E082</t>
  </si>
  <si>
    <t>Chắn mưa E082</t>
  </si>
  <si>
    <t>AUCL-E132</t>
  </si>
  <si>
    <t>E132</t>
  </si>
  <si>
    <t>Chắn mưa E132</t>
  </si>
  <si>
    <t>AUCL-E222</t>
  </si>
  <si>
    <t>E222</t>
  </si>
  <si>
    <t>Chắn mưa E222</t>
  </si>
  <si>
    <t>AUCL-E227</t>
  </si>
  <si>
    <t>E227</t>
  </si>
  <si>
    <t>Chắn mưa E227</t>
  </si>
  <si>
    <t>AUCL-E228</t>
  </si>
  <si>
    <t>E228</t>
  </si>
  <si>
    <t>Chắn mưa E228</t>
  </si>
  <si>
    <t>AUCL-E242</t>
  </si>
  <si>
    <t>E242</t>
  </si>
  <si>
    <t>Chắn mưa E242</t>
  </si>
  <si>
    <t>AUCL-E250</t>
  </si>
  <si>
    <t>E250</t>
  </si>
  <si>
    <t>Chắn mưa E250</t>
  </si>
  <si>
    <t>AUCL-E260</t>
  </si>
  <si>
    <t>E260</t>
  </si>
  <si>
    <t>Chắn mưa E260</t>
  </si>
  <si>
    <t>AUCL-E264</t>
  </si>
  <si>
    <t>E264</t>
  </si>
  <si>
    <t>Chắn mưa E264</t>
  </si>
  <si>
    <t>AUCL-E452</t>
  </si>
  <si>
    <t>E452</t>
  </si>
  <si>
    <t>Chắn mưa E452</t>
  </si>
  <si>
    <t>Hàng hóa giá cao</t>
  </si>
  <si>
    <t>156-GC</t>
  </si>
  <si>
    <t>AZ100-GC</t>
  </si>
  <si>
    <t>AZ100</t>
  </si>
  <si>
    <t>Đèn trợ sáng lắp trong ca lăng AZ100, Nhãn hiệu: Maxviss</t>
  </si>
  <si>
    <t>AZ90GC</t>
  </si>
  <si>
    <t>AZ90</t>
  </si>
  <si>
    <t>Đèn trợ sáng lắp trong ca lăng AZ90, nhãn hiệu: Maxviss</t>
  </si>
  <si>
    <t>BOXA65</t>
  </si>
  <si>
    <t>Hộp điều khiển màn hình Android  ô tô BOXA65, Hiệu: Maxviss</t>
  </si>
  <si>
    <t>F80 GC</t>
  </si>
  <si>
    <t>F80TURBO</t>
  </si>
  <si>
    <t>Bóng đèn F80 TURBO A, Hiệu: Maxviss</t>
  </si>
  <si>
    <t>F9 LASER</t>
  </si>
  <si>
    <t>F9LASERTRICOLOR</t>
  </si>
  <si>
    <t>Đèn gầm 3 màu cho ô tô chở người, Model: F9 BLACKHAWK DOUBLE LASER TRICOLOR</t>
  </si>
  <si>
    <t>H4 NKGC</t>
  </si>
  <si>
    <t>H4 NIGHTKING</t>
  </si>
  <si>
    <t>Bóng đèn H4 NIGHTKING, Hiệu: Maxviss BULBH4NIGHTKING</t>
  </si>
  <si>
    <t>Hàng hóa thảm</t>
  </si>
  <si>
    <t>156-THAM</t>
  </si>
  <si>
    <t>TPE-ACCENT24</t>
  </si>
  <si>
    <t>Phụ kiện ôtô  Hyundai Accent 24, Thảm trải sàn SmartCLEAN,Hiệu: Lifepro</t>
  </si>
  <si>
    <t>SET</t>
  </si>
  <si>
    <t>TPE-ATTRAGESEDAN</t>
  </si>
  <si>
    <t>Thảm sàn TPE SmartCLEAN dành cho xe Mitsubishi ATTRAGE Sedan (3pcs)</t>
  </si>
  <si>
    <t>TPE-BT50-21</t>
  </si>
  <si>
    <t>Thảm sàn TPE SmartCLEAN dành cho xe Mazda BT50-21 (3pcs)</t>
  </si>
  <si>
    <t>TPE-CARENS24</t>
  </si>
  <si>
    <t>Thảm sàn TPE SmartCLEAN dành cho xe KIA CARENS24 (4pcs)</t>
  </si>
  <si>
    <t>TPE-CITY21</t>
  </si>
  <si>
    <t>Phụ kiện ôtô Honda City 21, Thảm trải sàn SmartCLEAN,Hiệu: Lifepro</t>
  </si>
  <si>
    <t>TPE-COROLLACROSS-HYBRID</t>
  </si>
  <si>
    <t>Phụ kiện ôtô Toyota Corolla Cross-Hybrid, Thảm trải sàn SmartCLEAN,Hiệu: Lifepro</t>
  </si>
  <si>
    <t>TPE-COROLLACROSS-OIL</t>
  </si>
  <si>
    <t>Phụ kiện ôtô Toyota Corollacross-Oil, Thảm trải sàn SmartCLEAN,Hiệu: Lifepro</t>
  </si>
  <si>
    <t>TPE-CRETA22</t>
  </si>
  <si>
    <t>Phụ kiện ôtô Hyundai Creta 22, Thảm trải sàn SmartCLEAN,Hiệu: Lifepro</t>
  </si>
  <si>
    <t>TPE-CRV24</t>
  </si>
  <si>
    <t>Thảm sàn TPE SmartCLEAN dành cho xe Honda CRV24 (4pcs)</t>
  </si>
  <si>
    <t>TPE-CUSTIN</t>
  </si>
  <si>
    <t>Phụ kiện ôtô Hyundai Custin, Thảm trải sàn SmartCLEAN,Hiệu: Lifepro</t>
  </si>
  <si>
    <t>TPE-CX3</t>
  </si>
  <si>
    <t>Thảm sàn TPE SmartCLEAN dành cho xe Mazda CX3 (3pcs)</t>
  </si>
  <si>
    <t>TPE-CX30</t>
  </si>
  <si>
    <t>Phụ kiện ôtô Mazda CX30, Thảm trải sàn SmartCLEAN,Hiệu: Lifepro</t>
  </si>
  <si>
    <t>TPE-CX5-23</t>
  </si>
  <si>
    <t>Phụ kiện ôtô Mazda CX5 23, Thảm trải sàn SmartCLEAN,Hiệu: Lifepro</t>
  </si>
  <si>
    <t>TPE-CX8</t>
  </si>
  <si>
    <t>Thảm sàn TPE SmartCLEAN dành cho xe Mazda CX8 (4pcs)</t>
  </si>
  <si>
    <t>TPE-DMAX21</t>
  </si>
  <si>
    <t>Thảm sàn TPE SmartCLEAN dành cho xe ISUZU DMAX21 (3pcs)</t>
  </si>
  <si>
    <t>TPE-EVEREST16</t>
  </si>
  <si>
    <t>Thảm sàn TPE SmartCLEAN dành cho xe Ford EVEREST16 (4pcs)</t>
  </si>
  <si>
    <t>TPE-EVEREST23</t>
  </si>
  <si>
    <t>Phụ kiện ôtô Ford Everest 23, Thảm trải sàn SmartCLEAN,Hiệu: Lifepro</t>
  </si>
  <si>
    <t>TPE-FADIL</t>
  </si>
  <si>
    <t>Phụ kiện ôtô Vinfast Fadil , Thảm trải sàn SmartCLEAN,Hiệu: Lifepro</t>
  </si>
  <si>
    <t>TPE-FORTUNER16</t>
  </si>
  <si>
    <t>Phụ kiện ôtô Toyota Fortuner 16, Thảm trải sàn SmartCLEAN,Hiệu: Lifepro</t>
  </si>
  <si>
    <t>TPE-HILUX16</t>
  </si>
  <si>
    <t>Thảm sàn TPE SmartCLEAN dành cho xe Toyota HILUX16 (3pcs)</t>
  </si>
  <si>
    <t>TPE-HRV22</t>
  </si>
  <si>
    <t>Phụ kiện ôtô Honda HRV 22, Thảm trải sàn SmartCLEAN,Hiệu: Lifepro</t>
  </si>
  <si>
    <t>TPE-INNOVA16</t>
  </si>
  <si>
    <t>Thảm sàn TPE SmartCLEAN dành cho xe Toyota INNOVA16 (4pcs)</t>
  </si>
  <si>
    <t>TPE-INNOVACROSS-HYBRID</t>
  </si>
  <si>
    <t>Phụ kiện ôtô Toyota Innova Cross-Hybrid, Thảm trải sàn SmartCLEAN,Hiệu: Lifepro</t>
  </si>
  <si>
    <t>TPE-INNOVACROSS-OIL</t>
  </si>
  <si>
    <t>Phụ kiện ôtô Toyota Innova Cross-Oil, Thảm trải sàn SmartCLEAN,Hiệu: Lifepro</t>
  </si>
  <si>
    <t>TPE-LIMOGREEN</t>
  </si>
  <si>
    <t>Phụ kiện ôtô Vinfast LimoGreen, Thảm trải sàn SmartCLEAN,Hiệu: Lifepro</t>
  </si>
  <si>
    <t>TPE-MAZDA2-20</t>
  </si>
  <si>
    <t>Thảm sàn TPE SmartCLEAN dành cho xe Mazda MAZDA2-20 (3pcs)</t>
  </si>
  <si>
    <t>TPE-MAZDA3SEDAN20</t>
  </si>
  <si>
    <t>Phụ kiện ôtô Mazda Mazda3 20, Thảm trải sàn SmartCLEAN,Hiệu: Lifepro</t>
  </si>
  <si>
    <t>TPE-MG5AT</t>
  </si>
  <si>
    <t>Phụ kiện ôtô MG5 AT, Thảm trải sàn SmartCLEAN,Hiệu: Lifepro</t>
  </si>
  <si>
    <t>TPE-MUX21</t>
  </si>
  <si>
    <t>Thảm sàn TPE SmartCLEAN dành cho xe ISUZU MUX21 (4pcs)</t>
  </si>
  <si>
    <t>TPE-PAJEROSPORT4X2</t>
  </si>
  <si>
    <t>Thảm sàn TPE SmartCLEAN dành cho xe Mitsubishi PAJEROSPORT4X2 (4pcs)</t>
  </si>
  <si>
    <t>TPE-PEUGEOT2008</t>
  </si>
  <si>
    <t>Thảm sàn TPE SmartCLEAN dành cho xe  PEUGEOT2008 (3pcs)</t>
  </si>
  <si>
    <t>TPE-RAIZE</t>
  </si>
  <si>
    <t>Thảm sàn TPE SmartCLEAN dành cho xe Toyota RAIZE (3pcs)</t>
  </si>
  <si>
    <t>TPE-RANGER16</t>
  </si>
  <si>
    <t>Thảm sàn TPE SmartCLEAN dành cho xe Ford RANGER16 (3pcs)</t>
  </si>
  <si>
    <t>TPE-RANGER23</t>
  </si>
  <si>
    <t>Phụ kiện ôtô Ford Ranger 23, Thảm trải sàn SmartCLEAN,Hiệu: Lifepro</t>
  </si>
  <si>
    <t>TPE-SELTOS</t>
  </si>
  <si>
    <t>Thảm sàn TPE SmartCLEAN dành cho xe KIA Seltos (3pcs)</t>
  </si>
  <si>
    <t>TPE-SONET</t>
  </si>
  <si>
    <t>Phụ kiện ôtô Kia Sonet, Thảm trải sàn SmartCLEAN,Hiệu: Lifepro</t>
  </si>
  <si>
    <t>TPE-SPORTAGE22</t>
  </si>
  <si>
    <t>Thảm sàn TPE SmartCLEAN dành cho xe KIA Sportage22 (3pcs)</t>
  </si>
  <si>
    <t>TPE-STARGAZER</t>
  </si>
  <si>
    <t>Phụ kiện ôtô Hyundai Stargazer, Thảm trải sàn SmartCLEAN,Hiệu: Lifepro</t>
  </si>
  <si>
    <t>TPE-TERRITORY</t>
  </si>
  <si>
    <t>Phụ kiện ôtô Ford Territory, Thảm trải sàn SmartCLEAN,Hiệu: Lifepro</t>
  </si>
  <si>
    <t>TPE-TUCSON22</t>
  </si>
  <si>
    <t>Phụ kiện ôtô Hyundai Tucson 22, Thảm trải sàn SmartCLEAN,Hiệu: Lifepro</t>
  </si>
  <si>
    <t>TPE-VELOZCROSS</t>
  </si>
  <si>
    <t>Thảm sàn TPE SmartCLEAN dành cho xe Toyota VELOZCROSS (4pcs)</t>
  </si>
  <si>
    <t>TPE-VENUE</t>
  </si>
  <si>
    <t>Thảm sàn TPE SmartCLEAN dành cho xe Hyundai VENUE (3pcs)</t>
  </si>
  <si>
    <t>TPE-VF3</t>
  </si>
  <si>
    <t>Phụ kiện ôtô Vinfast VF3, Thảm trải sàn SmartCLEAN,Hiệu: Lifepro</t>
  </si>
  <si>
    <t>TPE-VF5</t>
  </si>
  <si>
    <t>Phụ kiện ôtô Vinfast VF5, Thảm trải sàn SmartCLEAN,Hiệu: Lifepro</t>
  </si>
  <si>
    <t>TPE-VF6</t>
  </si>
  <si>
    <t>Phụ kiện ôtô Vinfast VF6, Thảm trải sàn SmartCLEAN,Hiệu: Lifepro</t>
  </si>
  <si>
    <t>TPE-VF7</t>
  </si>
  <si>
    <t>Phụ kiện ôtô Vinfast VF7, Thảm trải sàn SmartCLEAN,Hiệu: Lifepro</t>
  </si>
  <si>
    <t>TPE-VF8</t>
  </si>
  <si>
    <t>Phụ kiện ôtô Vinfast VF8, Thảm trải sàn SmartCLEAN,Hiệu: Lifepro</t>
  </si>
  <si>
    <t>TPE-VIOS19</t>
  </si>
  <si>
    <t>Phụ kiện ôtô Toyota Vios 19, Thảm trải sàn SmartCLEAN,Hiệu: Lifepro</t>
  </si>
  <si>
    <t>TPE-VITARA15</t>
  </si>
  <si>
    <t>Thảm sàn TPE SmartCLEAN dành cho xe Suzuki VITARA15 (3pcs)</t>
  </si>
  <si>
    <t>TPE-X-FORCE</t>
  </si>
  <si>
    <t>Phụ kiện ôtô Mitsubishi X-Force, Thảm trải sàn SmartCLEAN,Hiệu: Lifepro</t>
  </si>
  <si>
    <t>TPE-XPANDER</t>
  </si>
  <si>
    <t>Phụ kiện ôtô Mitsubishi Xpander, Thảm trải sàn SmartCLEAN,Hiệu: Lifepro</t>
  </si>
  <si>
    <t>TPE-YARISCROSS</t>
  </si>
  <si>
    <t>Phụ kiện ôtô Toyota Yaris Cross, Thảm trải sàn SmartCLEAN,Hiệu: Lifepro</t>
  </si>
  <si>
    <t>Maxviss</t>
  </si>
  <si>
    <t>156-MAX</t>
  </si>
  <si>
    <t>AUCL-BULB X10 BLACKHAWK</t>
  </si>
  <si>
    <t>X10 BLACKHAWK</t>
  </si>
  <si>
    <t>Bóng đèn X10 BLACKHAWK, Nhãn hiệu: Maxviss BULB X10 BLACKHAWK</t>
  </si>
  <si>
    <t>AZ100CHUNG</t>
  </si>
  <si>
    <t>AZ100TRICOLORCHUNG</t>
  </si>
  <si>
    <t>Đèn gầm 3 màu -chân bắt chung, model :AZ100</t>
  </si>
  <si>
    <t>AZ100LASERCHUNG</t>
  </si>
  <si>
    <t>Đèn gầm 3 màu-chân bắt chung, Model: AZ100LASER UNIVERSAL</t>
  </si>
  <si>
    <t>AZ100LASERTOYOTA</t>
  </si>
  <si>
    <t>Đèn gầm 3 màu-chân bắt Toyota, Model: AZ100LASER TOYOTA</t>
  </si>
  <si>
    <t>AZ100TOYOTA</t>
  </si>
  <si>
    <t>AZ100TRICOLORTOYOTA</t>
  </si>
  <si>
    <t>Đèn gầm 3 màu - chân bắt Toyota, model :AZ100</t>
  </si>
  <si>
    <t>AZ50CHUNG</t>
  </si>
  <si>
    <t>Đèn gầm trợ sáng-chân bắt chung AZ50</t>
  </si>
  <si>
    <t>AZ50LASERCHUNG</t>
  </si>
  <si>
    <t>Đèn gầm trợ sáng-chân bắt chung , model: AZ50 Laser</t>
  </si>
  <si>
    <t>AZ50LASERTOYOTA</t>
  </si>
  <si>
    <t>Đèn gầm trợ sáng-chân bắt Toyota, Model:AZ50 LASER TOYOTA</t>
  </si>
  <si>
    <t>AZ50TOYOTA</t>
  </si>
  <si>
    <t>Đèn gầm trợ sáng-chân bắt Toyota AZ50</t>
  </si>
  <si>
    <t>D3SLED</t>
  </si>
  <si>
    <t>Bóng đèn LED dùng cho ôtô chở người-chân D3S, Model/Bulb type: DSERIES-D3S</t>
  </si>
  <si>
    <t>D4SLED</t>
  </si>
  <si>
    <t>Bóng đèn LED dùng cho ôtô chở người-chân D4S, Model/Bulb type: DSERIES-D4S</t>
  </si>
  <si>
    <t>Bóng</t>
  </si>
  <si>
    <t>F3ULTRANEW9005</t>
  </si>
  <si>
    <t>Bóng đèn LED dùng cho ôtô chở người-chân 9005,Model/Bulbtype: F3ULTRA-9005</t>
  </si>
  <si>
    <t>F3ULTRANEWH11</t>
  </si>
  <si>
    <t>Bóng đèn LED dùng cho ôtô chở người-chân H11,Model/Bulbtype: F3ULTRA-H11</t>
  </si>
  <si>
    <t>F3ULTRANEWH4</t>
  </si>
  <si>
    <t>Bóng đèn LED dùng cho ôtô chở người-chân H4,Model/Bulbtype: F3ULTRA-H4</t>
  </si>
  <si>
    <t>F3ULTRANEWH7</t>
  </si>
  <si>
    <t>Bóng đèn LED dùng cho ôtô chở người-chân H7,Model/Bulbtype: F3ULTRA-H7</t>
  </si>
  <si>
    <t>LEDF3ULTRA90056500K(10)</t>
  </si>
  <si>
    <t>Bóng đèn LED dùng cho ô tô chở người, chân 9005</t>
  </si>
  <si>
    <t>LEDF3ULTRAH116500K(10)</t>
  </si>
  <si>
    <t>Bóng đèn LED dùng cho ô tô chở người, chân H11</t>
  </si>
  <si>
    <t>LEDF3ULTRAH16500K(10)</t>
  </si>
  <si>
    <t>Bóng đèn LED dùng cho ô tô chở người, chân H1</t>
  </si>
  <si>
    <t>LEDF3ULTRAH36500K(10)</t>
  </si>
  <si>
    <t>Bóng đèn LED dùng cho ô tô chở người, chân H3</t>
  </si>
  <si>
    <t>LEDF3ULTRAH46500K(10)</t>
  </si>
  <si>
    <t>Bóng đèn LED dùng cho ô tô chở người, chân H4</t>
  </si>
  <si>
    <t>LEDF3ULTRAH76500K(10)</t>
  </si>
  <si>
    <t>Bóng đèn LED dùng cho ô tô chở người, chân H7</t>
  </si>
  <si>
    <t>LEDS19005NEW</t>
  </si>
  <si>
    <t>Bóng đèn LED dùng cho ôtô chở người-chân 9005, Model/Bulb type: S1-9005</t>
  </si>
  <si>
    <t>LEDS1H11NEW</t>
  </si>
  <si>
    <t>Bóng đèn LED dùng cho ôtô chở người-chân H11, Model/Bulb type: S1-H11</t>
  </si>
  <si>
    <t>LEDS1H1NEW</t>
  </si>
  <si>
    <t>Bóng đèn LED dùng cho ôtô chở người-chân H1, Model/Bulb type: S1-H1</t>
  </si>
  <si>
    <t>LEDS1H4NEW</t>
  </si>
  <si>
    <t>Bóng đèn LED dùng cho ôtô chở người-chân H4, Model/Bulb type: S1-H4</t>
  </si>
  <si>
    <t>LEDS1H7NEW</t>
  </si>
  <si>
    <t>Bóng đèn LED dùng cho ôtô chở người-chân H7, Model/Bulb type: S1-H7</t>
  </si>
  <si>
    <t>LEDS55NEW881</t>
  </si>
  <si>
    <t>Bóng đèn LED dùng cho ôtô chở người-chân 881, Model: S55TRICOLOR-881</t>
  </si>
  <si>
    <t>LEDS55NEWH11</t>
  </si>
  <si>
    <t>Bóng đèn LED dùng cho ôtô chở người-chân H11, Model: S55TRICOLOR-H11</t>
  </si>
  <si>
    <t>LEDS55NEWH4</t>
  </si>
  <si>
    <t>Bóng đèn LED dùng cho ôtô chở người-chân H4, Model: S55TRICOLOR-H4</t>
  </si>
  <si>
    <t>LEDS55NEWH7</t>
  </si>
  <si>
    <t>Bóng đèn LED dùng cho ôtô chở người-chân H7, Model: S55TRICOLOR-H7</t>
  </si>
  <si>
    <t>MAXF95000KCHUNG</t>
  </si>
  <si>
    <t>MAXF95000K</t>
  </si>
  <si>
    <t>Phụ tùng ôtô 5&amp;7 chỗ, Đèn gầm, Model: F9 BLACKHAWK 5000K</t>
  </si>
  <si>
    <t>TĐ22</t>
  </si>
  <si>
    <t>Bi LED MAXVISS V7 Premium</t>
  </si>
  <si>
    <t>Bộ Bi LED MAXVISS V7 Premium</t>
  </si>
  <si>
    <t>VF35ULTRA360</t>
  </si>
  <si>
    <t>Bóng đèn LED dùng cho ô tô chở người, Model: VF35 ULTRA</t>
  </si>
  <si>
    <t>Z80H4MINI</t>
  </si>
  <si>
    <t>Bóng đèn LED Mini Lens chân H4 dùng cho ô tô/xe máy chở người</t>
  </si>
  <si>
    <t>Tổng cộng</t>
  </si>
  <si>
    <t>F3ULTRAH11</t>
  </si>
  <si>
    <t>F3ULTRAH1</t>
  </si>
  <si>
    <t>F3ULTRAH3</t>
  </si>
  <si>
    <t>F3ULTRAH4</t>
  </si>
  <si>
    <t>F3ULTRAH7</t>
  </si>
  <si>
    <t>F3ULTRA9005</t>
  </si>
  <si>
    <t>F3ULTRA3609005</t>
  </si>
  <si>
    <t>F3ULTRA360H11</t>
  </si>
  <si>
    <t>F3ULTRA360H4</t>
  </si>
  <si>
    <t>F3ULTRA360H7</t>
  </si>
  <si>
    <t>Ma_ThamChieu_Cap2</t>
  </si>
  <si>
    <t>AZ100LASER</t>
  </si>
  <si>
    <t>AZ50</t>
  </si>
  <si>
    <t>AZ50LASER</t>
  </si>
  <si>
    <t>F3ULTRA</t>
  </si>
  <si>
    <t>LEDS1</t>
  </si>
  <si>
    <t>F9BLACKHAWK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</si>
</sst>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);\(#,##0.00\)"/>
    <numFmt numFmtId="165" formatCode="#,##0_);\(#,##0\)"/>
  </numFmts>
  <fonts count="5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 wrapText="1"/>
    </xf>
    <xf numFmtId="165" fontId="0" fillId="0" borderId="0" xfId="0" applyNumberForma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5" fontId="1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horizontal="right" wrapText="1"/>
    </xf>
    <xf numFmtId="165" fontId="0" fillId="0" borderId="1" xfId="0" applyNumberFormat="1" applyBorder="1" applyAlignment="1">
      <alignment horizontal="right" wrapText="1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0" xfId="0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3" fillId="0" borderId="0" xfId="0" applyFont="1" applyAlignment="1">
      <alignment horizontal="center" vertical="center" wrapText="1"/>
    </xf>
    <xf numFmtId="0" fontId="0" fillId="0" borderId="2" xfId="0" applyBorder="1"/>
    <xf numFmtId="0" fontId="2" fillId="0" borderId="0" xfId="0" applyFont="1" applyAlignment="1">
      <alignment horizontal="center" vertical="center" wrapText="1"/>
    </xf>
    <xf numFmtId="0" fontId="0" fillId="0" borderId="5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6.%20LEARN_\Tailieu_Lifepro\T&#7893;ng%20h&#7907;p%20nh&#7853;t%20xu&#7845;t%20t&#7891;n%20(42).xlsx" TargetMode="External"/><Relationship Id="rId1" Type="http://schemas.openxmlformats.org/officeDocument/2006/relationships/externalLinkPath" Target="T&#7893;ng%20h&#7907;p%20nh&#7853;t%20xu&#7845;t%20t&#7891;n%20(4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9">
          <cell r="N9">
            <v>0</v>
          </cell>
        </row>
        <row r="10">
          <cell r="N10">
            <v>0</v>
          </cell>
        </row>
        <row r="11">
          <cell r="N11">
            <v>2</v>
          </cell>
        </row>
        <row r="12">
          <cell r="N12">
            <v>114</v>
          </cell>
        </row>
        <row r="13">
          <cell r="N13">
            <v>40</v>
          </cell>
        </row>
        <row r="14">
          <cell r="N14">
            <v>52</v>
          </cell>
        </row>
        <row r="15">
          <cell r="N15">
            <v>54</v>
          </cell>
        </row>
        <row r="16">
          <cell r="N16">
            <v>6</v>
          </cell>
        </row>
        <row r="17">
          <cell r="N17">
            <v>1</v>
          </cell>
        </row>
        <row r="18">
          <cell r="N18">
            <v>357</v>
          </cell>
        </row>
        <row r="19">
          <cell r="N19">
            <v>330</v>
          </cell>
        </row>
        <row r="20">
          <cell r="N20">
            <v>19</v>
          </cell>
        </row>
        <row r="21">
          <cell r="N21">
            <v>226</v>
          </cell>
        </row>
        <row r="22">
          <cell r="N22">
            <v>2</v>
          </cell>
        </row>
        <row r="23">
          <cell r="N23">
            <v>2</v>
          </cell>
        </row>
        <row r="24">
          <cell r="N24">
            <v>49</v>
          </cell>
        </row>
        <row r="25">
          <cell r="N25">
            <v>85</v>
          </cell>
        </row>
        <row r="26">
          <cell r="N26">
            <v>10</v>
          </cell>
        </row>
        <row r="27">
          <cell r="N27">
            <v>461</v>
          </cell>
        </row>
        <row r="28">
          <cell r="N28">
            <v>300</v>
          </cell>
        </row>
        <row r="29">
          <cell r="N29">
            <v>136</v>
          </cell>
        </row>
        <row r="30">
          <cell r="N30">
            <v>741</v>
          </cell>
        </row>
        <row r="31">
          <cell r="N31">
            <v>503</v>
          </cell>
        </row>
        <row r="32">
          <cell r="N32">
            <v>12</v>
          </cell>
        </row>
        <row r="33">
          <cell r="N33">
            <v>1094</v>
          </cell>
        </row>
        <row r="34">
          <cell r="N34">
            <v>9</v>
          </cell>
        </row>
        <row r="35">
          <cell r="N35">
            <v>870</v>
          </cell>
        </row>
        <row r="36">
          <cell r="N36">
            <v>1</v>
          </cell>
        </row>
        <row r="37">
          <cell r="B37" t="str">
            <v>A059</v>
          </cell>
          <cell r="N37">
            <v>0</v>
          </cell>
        </row>
        <row r="38">
          <cell r="B38" t="str">
            <v>A064</v>
          </cell>
          <cell r="N38">
            <v>10</v>
          </cell>
        </row>
        <row r="39">
          <cell r="B39" t="str">
            <v>A072</v>
          </cell>
          <cell r="N39">
            <v>29</v>
          </cell>
        </row>
        <row r="40">
          <cell r="B40" t="str">
            <v>A081</v>
          </cell>
          <cell r="N40">
            <v>1</v>
          </cell>
        </row>
        <row r="41">
          <cell r="B41" t="str">
            <v>A096</v>
          </cell>
          <cell r="N41">
            <v>0</v>
          </cell>
        </row>
        <row r="42">
          <cell r="B42" t="str">
            <v>A100</v>
          </cell>
          <cell r="N42">
            <v>2</v>
          </cell>
        </row>
        <row r="43">
          <cell r="B43" t="str">
            <v>A104</v>
          </cell>
          <cell r="N43">
            <v>9</v>
          </cell>
        </row>
        <row r="44">
          <cell r="B44" t="str">
            <v>A123</v>
          </cell>
          <cell r="N44">
            <v>1</v>
          </cell>
        </row>
        <row r="45">
          <cell r="B45" t="str">
            <v>A134</v>
          </cell>
          <cell r="N45">
            <v>2</v>
          </cell>
        </row>
        <row r="46">
          <cell r="B46" t="str">
            <v>A138</v>
          </cell>
          <cell r="N46">
            <v>16</v>
          </cell>
        </row>
        <row r="47">
          <cell r="B47" t="str">
            <v>A140</v>
          </cell>
          <cell r="N47">
            <v>36</v>
          </cell>
        </row>
        <row r="48">
          <cell r="B48" t="str">
            <v>A155</v>
          </cell>
          <cell r="N48">
            <v>1</v>
          </cell>
        </row>
        <row r="49">
          <cell r="B49" t="str">
            <v>A160</v>
          </cell>
          <cell r="N49">
            <v>20</v>
          </cell>
        </row>
        <row r="50">
          <cell r="B50" t="str">
            <v>A168</v>
          </cell>
          <cell r="N50">
            <v>82</v>
          </cell>
        </row>
        <row r="51">
          <cell r="B51" t="str">
            <v>A169</v>
          </cell>
          <cell r="N51">
            <v>39</v>
          </cell>
        </row>
        <row r="52">
          <cell r="B52" t="str">
            <v>A176</v>
          </cell>
          <cell r="N52">
            <v>40</v>
          </cell>
        </row>
        <row r="53">
          <cell r="B53" t="str">
            <v>A195</v>
          </cell>
          <cell r="N53">
            <v>14</v>
          </cell>
        </row>
        <row r="54">
          <cell r="B54" t="str">
            <v>A196</v>
          </cell>
          <cell r="N54">
            <v>17</v>
          </cell>
        </row>
        <row r="55">
          <cell r="B55" t="str">
            <v>A198</v>
          </cell>
          <cell r="N55">
            <v>0</v>
          </cell>
        </row>
        <row r="56">
          <cell r="B56" t="str">
            <v>A218</v>
          </cell>
          <cell r="N56">
            <v>57</v>
          </cell>
        </row>
        <row r="57">
          <cell r="B57" t="str">
            <v>A288</v>
          </cell>
          <cell r="N57">
            <v>1</v>
          </cell>
        </row>
        <row r="58">
          <cell r="B58" t="str">
            <v>A293</v>
          </cell>
          <cell r="N58">
            <v>50</v>
          </cell>
        </row>
        <row r="59">
          <cell r="N59">
            <v>57</v>
          </cell>
        </row>
        <row r="60">
          <cell r="N60">
            <v>8</v>
          </cell>
        </row>
        <row r="61">
          <cell r="N61">
            <v>483</v>
          </cell>
        </row>
        <row r="62">
          <cell r="N62">
            <v>219</v>
          </cell>
        </row>
        <row r="63">
          <cell r="N63">
            <v>20</v>
          </cell>
        </row>
        <row r="64">
          <cell r="B64" t="str">
            <v>A398</v>
          </cell>
          <cell r="N64">
            <v>18</v>
          </cell>
        </row>
        <row r="65">
          <cell r="B65" t="str">
            <v>A423</v>
          </cell>
          <cell r="N65">
            <v>1</v>
          </cell>
        </row>
        <row r="66">
          <cell r="B66" t="str">
            <v>A449</v>
          </cell>
          <cell r="N66">
            <v>0</v>
          </cell>
        </row>
        <row r="67">
          <cell r="B67" t="str">
            <v>A451</v>
          </cell>
          <cell r="N67">
            <v>5</v>
          </cell>
        </row>
        <row r="68">
          <cell r="B68" t="str">
            <v>A460</v>
          </cell>
          <cell r="N68">
            <v>5</v>
          </cell>
        </row>
        <row r="69">
          <cell r="B69" t="str">
            <v>A461</v>
          </cell>
          <cell r="N69">
            <v>5</v>
          </cell>
        </row>
        <row r="70">
          <cell r="B70" t="str">
            <v>A463</v>
          </cell>
          <cell r="N70">
            <v>11</v>
          </cell>
        </row>
        <row r="71">
          <cell r="B71" t="str">
            <v>A465</v>
          </cell>
          <cell r="N71">
            <v>11</v>
          </cell>
        </row>
        <row r="72">
          <cell r="B72" t="str">
            <v>A466</v>
          </cell>
          <cell r="N72">
            <v>1</v>
          </cell>
        </row>
        <row r="73">
          <cell r="B73" t="str">
            <v>A471</v>
          </cell>
          <cell r="N73">
            <v>1</v>
          </cell>
        </row>
        <row r="74">
          <cell r="B74" t="str">
            <v>A475</v>
          </cell>
          <cell r="N74">
            <v>3</v>
          </cell>
        </row>
        <row r="75">
          <cell r="B75" t="str">
            <v>A477</v>
          </cell>
          <cell r="N75">
            <v>7</v>
          </cell>
        </row>
        <row r="76">
          <cell r="B76" t="str">
            <v>A481</v>
          </cell>
          <cell r="N76">
            <v>76</v>
          </cell>
        </row>
        <row r="77">
          <cell r="B77" t="str">
            <v>A482</v>
          </cell>
          <cell r="N77">
            <v>140</v>
          </cell>
        </row>
        <row r="78">
          <cell r="B78" t="str">
            <v>A489</v>
          </cell>
          <cell r="N78">
            <v>16</v>
          </cell>
        </row>
        <row r="79">
          <cell r="B79" t="str">
            <v>A490</v>
          </cell>
          <cell r="N79">
            <v>4</v>
          </cell>
        </row>
        <row r="80">
          <cell r="B80" t="str">
            <v>A495</v>
          </cell>
          <cell r="N80">
            <v>2</v>
          </cell>
        </row>
        <row r="81">
          <cell r="B81" t="str">
            <v>A498</v>
          </cell>
          <cell r="N81">
            <v>20</v>
          </cell>
        </row>
        <row r="82">
          <cell r="B82" t="str">
            <v>A535</v>
          </cell>
          <cell r="N82">
            <v>6</v>
          </cell>
        </row>
        <row r="83">
          <cell r="B83" t="str">
            <v>A575</v>
          </cell>
          <cell r="N83">
            <v>2</v>
          </cell>
        </row>
        <row r="84">
          <cell r="B84" t="str">
            <v>A677</v>
          </cell>
          <cell r="N84">
            <v>1</v>
          </cell>
        </row>
        <row r="85">
          <cell r="B85" t="str">
            <v>A727</v>
          </cell>
          <cell r="N85">
            <v>2</v>
          </cell>
        </row>
        <row r="86">
          <cell r="B86" t="str">
            <v>A729</v>
          </cell>
          <cell r="N86">
            <v>3</v>
          </cell>
        </row>
        <row r="87">
          <cell r="B87" t="str">
            <v>A737</v>
          </cell>
          <cell r="N87">
            <v>9</v>
          </cell>
        </row>
        <row r="88">
          <cell r="B88" t="str">
            <v>A749</v>
          </cell>
          <cell r="N88">
            <v>25</v>
          </cell>
        </row>
        <row r="89">
          <cell r="B89" t="str">
            <v>A775</v>
          </cell>
          <cell r="N89">
            <v>1</v>
          </cell>
        </row>
        <row r="90">
          <cell r="B90" t="str">
            <v>A776</v>
          </cell>
          <cell r="N90">
            <v>11</v>
          </cell>
        </row>
        <row r="91">
          <cell r="B91" t="str">
            <v>A777</v>
          </cell>
          <cell r="N91">
            <v>3</v>
          </cell>
        </row>
        <row r="92">
          <cell r="B92" t="str">
            <v>A786</v>
          </cell>
          <cell r="N92">
            <v>0</v>
          </cell>
        </row>
        <row r="93">
          <cell r="B93" t="str">
            <v>A842</v>
          </cell>
          <cell r="N93">
            <v>7</v>
          </cell>
        </row>
        <row r="94">
          <cell r="B94" t="str">
            <v>A856</v>
          </cell>
          <cell r="N94">
            <v>2</v>
          </cell>
        </row>
        <row r="95">
          <cell r="B95" t="str">
            <v>A858</v>
          </cell>
          <cell r="N95">
            <v>16</v>
          </cell>
        </row>
        <row r="96">
          <cell r="B96" t="str">
            <v>A859</v>
          </cell>
          <cell r="N96">
            <v>4</v>
          </cell>
        </row>
        <row r="97">
          <cell r="B97" t="str">
            <v>A863</v>
          </cell>
          <cell r="N97">
            <v>7</v>
          </cell>
        </row>
        <row r="98">
          <cell r="B98" t="str">
            <v>A885</v>
          </cell>
          <cell r="N98">
            <v>14</v>
          </cell>
        </row>
        <row r="99">
          <cell r="B99" t="str">
            <v>A904</v>
          </cell>
          <cell r="N99">
            <v>4</v>
          </cell>
        </row>
        <row r="100">
          <cell r="B100" t="str">
            <v>A907</v>
          </cell>
          <cell r="N100">
            <v>5</v>
          </cell>
        </row>
        <row r="101">
          <cell r="B101" t="str">
            <v>A911</v>
          </cell>
          <cell r="N101">
            <v>14</v>
          </cell>
        </row>
        <row r="102">
          <cell r="B102" t="str">
            <v>A917</v>
          </cell>
          <cell r="N102">
            <v>20</v>
          </cell>
        </row>
        <row r="103">
          <cell r="N103">
            <v>126</v>
          </cell>
        </row>
        <row r="104">
          <cell r="N104">
            <v>57</v>
          </cell>
        </row>
        <row r="105">
          <cell r="N105">
            <v>134</v>
          </cell>
        </row>
        <row r="106">
          <cell r="N106">
            <v>27</v>
          </cell>
        </row>
        <row r="107">
          <cell r="B107" t="str">
            <v>AZ100LASERCHUNG</v>
          </cell>
          <cell r="N107">
            <v>9</v>
          </cell>
        </row>
        <row r="108">
          <cell r="B108" t="str">
            <v>AZ100LASERTOYOTA</v>
          </cell>
          <cell r="N108">
            <v>204</v>
          </cell>
        </row>
        <row r="109">
          <cell r="B109" t="str">
            <v>AZ100TRICOLORCHUNG</v>
          </cell>
          <cell r="N109">
            <v>184</v>
          </cell>
        </row>
        <row r="110">
          <cell r="B110" t="str">
            <v>AZ100TRICOLORCHUNG</v>
          </cell>
          <cell r="N110">
            <v>34</v>
          </cell>
        </row>
        <row r="111">
          <cell r="B111" t="str">
            <v>AZ100TRICOLORTOYOTA</v>
          </cell>
          <cell r="N111">
            <v>292</v>
          </cell>
        </row>
        <row r="112">
          <cell r="B112" t="str">
            <v>AZ300</v>
          </cell>
          <cell r="N112">
            <v>85</v>
          </cell>
        </row>
        <row r="113">
          <cell r="B113" t="str">
            <v>AZ400</v>
          </cell>
          <cell r="N113">
            <v>15</v>
          </cell>
        </row>
        <row r="114">
          <cell r="B114" t="str">
            <v>AZ50CHUNG</v>
          </cell>
          <cell r="N114">
            <v>126</v>
          </cell>
        </row>
        <row r="115">
          <cell r="B115" t="str">
            <v>AZ50LASERCHUNG</v>
          </cell>
          <cell r="N115">
            <v>53</v>
          </cell>
        </row>
        <row r="116">
          <cell r="B116" t="str">
            <v>AZ50LASERTOYOTA</v>
          </cell>
          <cell r="N116">
            <v>278</v>
          </cell>
        </row>
        <row r="117">
          <cell r="B117" t="str">
            <v>AZ50TOYOTA</v>
          </cell>
          <cell r="N117">
            <v>167</v>
          </cell>
        </row>
        <row r="118">
          <cell r="B118" t="str">
            <v>AZ90</v>
          </cell>
          <cell r="N118">
            <v>25</v>
          </cell>
        </row>
        <row r="119">
          <cell r="B119" t="str">
            <v>B137</v>
          </cell>
          <cell r="N119">
            <v>13</v>
          </cell>
        </row>
        <row r="120">
          <cell r="B120" t="str">
            <v>B153</v>
          </cell>
          <cell r="N120">
            <v>4</v>
          </cell>
        </row>
        <row r="121">
          <cell r="B121" t="str">
            <v>B229</v>
          </cell>
          <cell r="N121">
            <v>5</v>
          </cell>
        </row>
        <row r="122">
          <cell r="B122" t="str">
            <v>B237</v>
          </cell>
          <cell r="N122">
            <v>15</v>
          </cell>
        </row>
        <row r="123">
          <cell r="B123" t="str">
            <v>B266</v>
          </cell>
          <cell r="N123">
            <v>23</v>
          </cell>
        </row>
        <row r="124">
          <cell r="B124" t="str">
            <v>B267</v>
          </cell>
          <cell r="N124">
            <v>56</v>
          </cell>
        </row>
        <row r="125">
          <cell r="B125" t="str">
            <v>B270</v>
          </cell>
          <cell r="N125">
            <v>49</v>
          </cell>
        </row>
        <row r="126">
          <cell r="B126" t="str">
            <v>B271</v>
          </cell>
          <cell r="N126">
            <v>17</v>
          </cell>
        </row>
        <row r="127">
          <cell r="B127" t="str">
            <v>B276</v>
          </cell>
          <cell r="N127">
            <v>25</v>
          </cell>
        </row>
        <row r="128">
          <cell r="B128" t="str">
            <v>B278</v>
          </cell>
          <cell r="N128">
            <v>22</v>
          </cell>
        </row>
        <row r="129">
          <cell r="B129" t="str">
            <v>B283</v>
          </cell>
          <cell r="N129">
            <v>16</v>
          </cell>
        </row>
        <row r="130">
          <cell r="B130" t="str">
            <v>B305</v>
          </cell>
          <cell r="N130">
            <v>5</v>
          </cell>
        </row>
        <row r="131">
          <cell r="B131" t="str">
            <v>B308</v>
          </cell>
          <cell r="N131">
            <v>1</v>
          </cell>
        </row>
        <row r="132">
          <cell r="B132" t="str">
            <v>B309</v>
          </cell>
          <cell r="N132">
            <v>5</v>
          </cell>
        </row>
        <row r="133">
          <cell r="B133" t="str">
            <v>B318</v>
          </cell>
          <cell r="N133">
            <v>3</v>
          </cell>
        </row>
        <row r="134">
          <cell r="B134" t="str">
            <v>B320</v>
          </cell>
          <cell r="N134">
            <v>17</v>
          </cell>
        </row>
        <row r="135">
          <cell r="B135" t="str">
            <v>B322</v>
          </cell>
          <cell r="N135">
            <v>4</v>
          </cell>
        </row>
        <row r="136">
          <cell r="B136" t="str">
            <v>B335</v>
          </cell>
          <cell r="N136">
            <v>28</v>
          </cell>
        </row>
        <row r="137">
          <cell r="B137" t="str">
            <v>B354</v>
          </cell>
          <cell r="N137">
            <v>3</v>
          </cell>
        </row>
        <row r="138">
          <cell r="B138" t="str">
            <v>B358</v>
          </cell>
          <cell r="N138">
            <v>12</v>
          </cell>
        </row>
        <row r="139">
          <cell r="B139" t="str">
            <v>B359</v>
          </cell>
          <cell r="N139">
            <v>14</v>
          </cell>
        </row>
        <row r="140">
          <cell r="B140" t="str">
            <v>B360</v>
          </cell>
          <cell r="N140">
            <v>1</v>
          </cell>
        </row>
        <row r="141">
          <cell r="B141" t="str">
            <v>B364</v>
          </cell>
          <cell r="N141">
            <v>5</v>
          </cell>
        </row>
        <row r="142">
          <cell r="B142" t="str">
            <v>B371</v>
          </cell>
          <cell r="N142">
            <v>15</v>
          </cell>
        </row>
        <row r="143">
          <cell r="B143" t="str">
            <v>B377</v>
          </cell>
          <cell r="N143">
            <v>21</v>
          </cell>
        </row>
        <row r="144">
          <cell r="B144" t="str">
            <v>B378</v>
          </cell>
          <cell r="N144">
            <v>30</v>
          </cell>
        </row>
        <row r="145">
          <cell r="B145" t="str">
            <v>B379</v>
          </cell>
          <cell r="N145">
            <v>422</v>
          </cell>
        </row>
        <row r="146">
          <cell r="B146" t="str">
            <v>B380</v>
          </cell>
          <cell r="N146">
            <v>27</v>
          </cell>
        </row>
        <row r="147">
          <cell r="B147" t="str">
            <v>B406</v>
          </cell>
          <cell r="N147">
            <v>55</v>
          </cell>
        </row>
        <row r="148">
          <cell r="B148" t="str">
            <v>B418</v>
          </cell>
          <cell r="N148">
            <v>4</v>
          </cell>
        </row>
        <row r="149">
          <cell r="B149" t="str">
            <v>B419</v>
          </cell>
          <cell r="N149">
            <v>8</v>
          </cell>
        </row>
        <row r="150">
          <cell r="B150" t="str">
            <v>B423</v>
          </cell>
          <cell r="N150">
            <v>5</v>
          </cell>
        </row>
        <row r="151">
          <cell r="B151" t="str">
            <v>B424</v>
          </cell>
          <cell r="N151">
            <v>5</v>
          </cell>
        </row>
        <row r="152">
          <cell r="B152" t="str">
            <v>B460</v>
          </cell>
          <cell r="N152">
            <v>196</v>
          </cell>
        </row>
        <row r="153">
          <cell r="B153" t="str">
            <v>B466</v>
          </cell>
          <cell r="N153">
            <v>16</v>
          </cell>
        </row>
        <row r="154">
          <cell r="B154" t="str">
            <v>B472</v>
          </cell>
          <cell r="N154">
            <v>1</v>
          </cell>
        </row>
        <row r="155">
          <cell r="B155" t="str">
            <v>B480</v>
          </cell>
          <cell r="N155">
            <v>80</v>
          </cell>
        </row>
        <row r="156">
          <cell r="B156" t="str">
            <v>B481</v>
          </cell>
          <cell r="N156">
            <v>30</v>
          </cell>
        </row>
        <row r="157">
          <cell r="B157" t="str">
            <v>B498</v>
          </cell>
          <cell r="N157">
            <v>29</v>
          </cell>
        </row>
        <row r="158">
          <cell r="B158" t="str">
            <v>B555</v>
          </cell>
          <cell r="N158">
            <v>50</v>
          </cell>
        </row>
        <row r="159">
          <cell r="B159" t="str">
            <v>B606</v>
          </cell>
          <cell r="N159">
            <v>2</v>
          </cell>
        </row>
        <row r="160">
          <cell r="B160" t="str">
            <v>B622</v>
          </cell>
          <cell r="N160">
            <v>12</v>
          </cell>
        </row>
        <row r="161">
          <cell r="B161" t="str">
            <v>B643</v>
          </cell>
          <cell r="N161">
            <v>5</v>
          </cell>
        </row>
        <row r="162">
          <cell r="B162" t="str">
            <v>B681</v>
          </cell>
          <cell r="N162">
            <v>8</v>
          </cell>
        </row>
        <row r="163">
          <cell r="B163" t="str">
            <v>B683</v>
          </cell>
          <cell r="N163">
            <v>2</v>
          </cell>
        </row>
        <row r="164">
          <cell r="B164" t="str">
            <v>B685</v>
          </cell>
          <cell r="N164">
            <v>5</v>
          </cell>
        </row>
        <row r="165">
          <cell r="B165" t="str">
            <v>B686</v>
          </cell>
          <cell r="N165">
            <v>4</v>
          </cell>
        </row>
        <row r="166">
          <cell r="B166" t="str">
            <v>B716</v>
          </cell>
          <cell r="N166">
            <v>24</v>
          </cell>
        </row>
        <row r="167">
          <cell r="B167" t="str">
            <v>B718</v>
          </cell>
          <cell r="N167">
            <v>28</v>
          </cell>
        </row>
        <row r="168">
          <cell r="B168" t="str">
            <v>B737</v>
          </cell>
          <cell r="N168">
            <v>26</v>
          </cell>
        </row>
        <row r="169">
          <cell r="B169" t="str">
            <v>B738</v>
          </cell>
          <cell r="N169">
            <v>9</v>
          </cell>
        </row>
        <row r="170">
          <cell r="B170" t="str">
            <v>B739</v>
          </cell>
          <cell r="N170">
            <v>10</v>
          </cell>
        </row>
        <row r="171">
          <cell r="B171" t="str">
            <v>B747</v>
          </cell>
          <cell r="N171">
            <v>5</v>
          </cell>
        </row>
        <row r="172">
          <cell r="B172" t="str">
            <v>B790</v>
          </cell>
          <cell r="N172">
            <v>18</v>
          </cell>
        </row>
        <row r="173">
          <cell r="B173" t="str">
            <v>B804</v>
          </cell>
          <cell r="N173">
            <v>11</v>
          </cell>
        </row>
        <row r="174">
          <cell r="B174" t="str">
            <v>B809</v>
          </cell>
          <cell r="N174">
            <v>1</v>
          </cell>
        </row>
        <row r="175">
          <cell r="B175" t="str">
            <v>B813</v>
          </cell>
          <cell r="N175">
            <v>1</v>
          </cell>
        </row>
        <row r="176">
          <cell r="B176" t="str">
            <v>B818</v>
          </cell>
          <cell r="N176">
            <v>1</v>
          </cell>
        </row>
        <row r="177">
          <cell r="B177" t="str">
            <v>B822</v>
          </cell>
          <cell r="N177">
            <v>20</v>
          </cell>
        </row>
        <row r="178">
          <cell r="B178" t="str">
            <v>B837</v>
          </cell>
          <cell r="N178">
            <v>1</v>
          </cell>
        </row>
        <row r="179">
          <cell r="B179" t="str">
            <v>B857</v>
          </cell>
          <cell r="N179">
            <v>24</v>
          </cell>
        </row>
        <row r="180">
          <cell r="B180" t="str">
            <v>B875</v>
          </cell>
          <cell r="N180">
            <v>37</v>
          </cell>
        </row>
        <row r="181">
          <cell r="B181" t="str">
            <v>B883</v>
          </cell>
          <cell r="N181">
            <v>10</v>
          </cell>
        </row>
        <row r="182">
          <cell r="B182" t="str">
            <v>B895</v>
          </cell>
          <cell r="N182">
            <v>40</v>
          </cell>
        </row>
        <row r="183">
          <cell r="B183" t="str">
            <v>B901</v>
          </cell>
          <cell r="N183">
            <v>5</v>
          </cell>
        </row>
        <row r="184">
          <cell r="B184" t="str">
            <v>B909</v>
          </cell>
          <cell r="N184">
            <v>4</v>
          </cell>
        </row>
        <row r="185">
          <cell r="B185" t="str">
            <v>B910</v>
          </cell>
          <cell r="N185">
            <v>9</v>
          </cell>
        </row>
        <row r="186">
          <cell r="B186" t="str">
            <v>B911</v>
          </cell>
          <cell r="N186">
            <v>0</v>
          </cell>
        </row>
        <row r="187">
          <cell r="B187" t="str">
            <v>B914</v>
          </cell>
          <cell r="N187">
            <v>1</v>
          </cell>
        </row>
        <row r="188">
          <cell r="B188" t="str">
            <v>B921</v>
          </cell>
          <cell r="N188">
            <v>2</v>
          </cell>
        </row>
        <row r="189">
          <cell r="B189" t="str">
            <v>B933</v>
          </cell>
          <cell r="N189">
            <v>11</v>
          </cell>
        </row>
        <row r="190">
          <cell r="B190" t="str">
            <v>B938</v>
          </cell>
          <cell r="N190">
            <v>1</v>
          </cell>
        </row>
        <row r="191">
          <cell r="N191">
            <v>10</v>
          </cell>
        </row>
        <row r="192">
          <cell r="N192">
            <v>1</v>
          </cell>
        </row>
        <row r="193">
          <cell r="N193">
            <v>1</v>
          </cell>
        </row>
        <row r="194">
          <cell r="N194">
            <v>1</v>
          </cell>
        </row>
        <row r="195">
          <cell r="N195">
            <v>1</v>
          </cell>
        </row>
        <row r="196">
          <cell r="N196">
            <v>1</v>
          </cell>
        </row>
        <row r="197">
          <cell r="N197">
            <v>15</v>
          </cell>
        </row>
        <row r="198">
          <cell r="N198">
            <v>1</v>
          </cell>
        </row>
        <row r="199">
          <cell r="N199">
            <v>2</v>
          </cell>
        </row>
        <row r="200">
          <cell r="N200">
            <v>5</v>
          </cell>
        </row>
        <row r="201">
          <cell r="N201">
            <v>6</v>
          </cell>
        </row>
        <row r="202">
          <cell r="B202" t="str">
            <v>BOXER-616</v>
          </cell>
          <cell r="N202">
            <v>11</v>
          </cell>
        </row>
        <row r="203">
          <cell r="B203" t="str">
            <v>BOXER-616</v>
          </cell>
          <cell r="N203">
            <v>24</v>
          </cell>
        </row>
        <row r="204">
          <cell r="B204" t="str">
            <v>BOXMAXA65</v>
          </cell>
          <cell r="N204">
            <v>37</v>
          </cell>
        </row>
        <row r="205">
          <cell r="B205" t="str">
            <v>BOXMAXA65</v>
          </cell>
          <cell r="N205">
            <v>554</v>
          </cell>
        </row>
        <row r="206">
          <cell r="B206" t="str">
            <v>C024</v>
          </cell>
          <cell r="N206">
            <v>25</v>
          </cell>
        </row>
        <row r="207">
          <cell r="B207" t="str">
            <v>C028</v>
          </cell>
          <cell r="N207">
            <v>7</v>
          </cell>
        </row>
        <row r="208">
          <cell r="B208" t="str">
            <v>C085</v>
          </cell>
          <cell r="N208">
            <v>13</v>
          </cell>
        </row>
        <row r="209">
          <cell r="B209" t="str">
            <v>C088</v>
          </cell>
          <cell r="N209">
            <v>91</v>
          </cell>
        </row>
        <row r="210">
          <cell r="B210" t="str">
            <v>C093</v>
          </cell>
          <cell r="N210">
            <v>2</v>
          </cell>
        </row>
        <row r="211">
          <cell r="B211" t="str">
            <v>C100</v>
          </cell>
          <cell r="N211">
            <v>3</v>
          </cell>
        </row>
        <row r="212">
          <cell r="B212" t="str">
            <v>C101</v>
          </cell>
          <cell r="N212">
            <v>7</v>
          </cell>
        </row>
        <row r="213">
          <cell r="B213" t="str">
            <v>C102</v>
          </cell>
          <cell r="N213">
            <v>36</v>
          </cell>
        </row>
        <row r="214">
          <cell r="B214" t="str">
            <v>C104</v>
          </cell>
          <cell r="N214">
            <v>7</v>
          </cell>
        </row>
        <row r="215">
          <cell r="B215" t="str">
            <v>C106</v>
          </cell>
          <cell r="N215">
            <v>8</v>
          </cell>
        </row>
        <row r="216">
          <cell r="B216" t="str">
            <v>C108</v>
          </cell>
          <cell r="N216">
            <v>2</v>
          </cell>
        </row>
        <row r="217">
          <cell r="B217" t="str">
            <v>C110</v>
          </cell>
          <cell r="N217">
            <v>9</v>
          </cell>
        </row>
        <row r="218">
          <cell r="B218" t="str">
            <v>C112</v>
          </cell>
          <cell r="N218">
            <v>18</v>
          </cell>
        </row>
        <row r="219">
          <cell r="B219" t="str">
            <v>C120</v>
          </cell>
          <cell r="N219">
            <v>4</v>
          </cell>
        </row>
        <row r="220">
          <cell r="B220" t="str">
            <v>C124</v>
          </cell>
          <cell r="N220">
            <v>10</v>
          </cell>
        </row>
        <row r="221">
          <cell r="B221" t="str">
            <v>C126</v>
          </cell>
          <cell r="N221">
            <v>11</v>
          </cell>
        </row>
        <row r="222">
          <cell r="B222" t="str">
            <v>C131</v>
          </cell>
          <cell r="N222">
            <v>23</v>
          </cell>
        </row>
        <row r="223">
          <cell r="B223" t="str">
            <v>C136</v>
          </cell>
          <cell r="N223">
            <v>5</v>
          </cell>
        </row>
        <row r="224">
          <cell r="B224" t="str">
            <v>C137</v>
          </cell>
          <cell r="N224">
            <v>1</v>
          </cell>
        </row>
        <row r="225">
          <cell r="B225" t="str">
            <v>C140</v>
          </cell>
          <cell r="N225">
            <v>4</v>
          </cell>
        </row>
        <row r="226">
          <cell r="B226" t="str">
            <v>C141</v>
          </cell>
          <cell r="N226">
            <v>29</v>
          </cell>
        </row>
        <row r="227">
          <cell r="B227" t="str">
            <v>C142</v>
          </cell>
          <cell r="N227">
            <v>14</v>
          </cell>
        </row>
        <row r="228">
          <cell r="B228" t="str">
            <v>C146</v>
          </cell>
          <cell r="N228">
            <v>39</v>
          </cell>
        </row>
        <row r="229">
          <cell r="B229" t="str">
            <v>C154</v>
          </cell>
          <cell r="N229">
            <v>4</v>
          </cell>
        </row>
        <row r="230">
          <cell r="B230" t="str">
            <v>C160</v>
          </cell>
          <cell r="N230">
            <v>16</v>
          </cell>
        </row>
        <row r="231">
          <cell r="B231" t="str">
            <v>C166</v>
          </cell>
          <cell r="N231">
            <v>14</v>
          </cell>
        </row>
        <row r="232">
          <cell r="B232" t="str">
            <v>C175</v>
          </cell>
          <cell r="N232">
            <v>1</v>
          </cell>
        </row>
        <row r="233">
          <cell r="B233" t="str">
            <v>C197</v>
          </cell>
          <cell r="N233">
            <v>27</v>
          </cell>
        </row>
        <row r="234">
          <cell r="B234" t="str">
            <v>C204</v>
          </cell>
          <cell r="N234">
            <v>28</v>
          </cell>
        </row>
        <row r="235">
          <cell r="B235" t="str">
            <v>C246</v>
          </cell>
          <cell r="N235">
            <v>1</v>
          </cell>
        </row>
        <row r="236">
          <cell r="B236" t="str">
            <v>C249</v>
          </cell>
          <cell r="N236">
            <v>4</v>
          </cell>
        </row>
        <row r="237">
          <cell r="B237" t="str">
            <v>C272</v>
          </cell>
          <cell r="N237">
            <v>9</v>
          </cell>
        </row>
        <row r="238">
          <cell r="B238" t="str">
            <v>C278</v>
          </cell>
          <cell r="N238">
            <v>2</v>
          </cell>
        </row>
        <row r="239">
          <cell r="B239" t="str">
            <v>C284</v>
          </cell>
          <cell r="N239">
            <v>7</v>
          </cell>
        </row>
        <row r="240">
          <cell r="B240" t="str">
            <v>C287</v>
          </cell>
          <cell r="N240">
            <v>25</v>
          </cell>
        </row>
        <row r="241">
          <cell r="B241" t="str">
            <v>C292</v>
          </cell>
          <cell r="N241">
            <v>28</v>
          </cell>
        </row>
        <row r="242">
          <cell r="B242" t="str">
            <v>C307</v>
          </cell>
          <cell r="N242">
            <v>10</v>
          </cell>
        </row>
        <row r="243">
          <cell r="B243" t="str">
            <v>C310</v>
          </cell>
          <cell r="N243">
            <v>5</v>
          </cell>
        </row>
        <row r="244">
          <cell r="B244" t="str">
            <v>C312</v>
          </cell>
          <cell r="N244">
            <v>11</v>
          </cell>
        </row>
        <row r="245">
          <cell r="B245" t="str">
            <v>C319</v>
          </cell>
          <cell r="N245">
            <v>34</v>
          </cell>
        </row>
        <row r="246">
          <cell r="B246" t="str">
            <v>C331</v>
          </cell>
          <cell r="N246">
            <v>18</v>
          </cell>
        </row>
        <row r="247">
          <cell r="B247" t="str">
            <v>C340</v>
          </cell>
          <cell r="N247">
            <v>12</v>
          </cell>
        </row>
        <row r="248">
          <cell r="B248" t="str">
            <v>C342</v>
          </cell>
          <cell r="N248">
            <v>5</v>
          </cell>
        </row>
        <row r="249">
          <cell r="B249" t="str">
            <v>C361</v>
          </cell>
          <cell r="N249">
            <v>17</v>
          </cell>
        </row>
        <row r="250">
          <cell r="B250" t="str">
            <v>C404</v>
          </cell>
          <cell r="N250">
            <v>5</v>
          </cell>
        </row>
        <row r="251">
          <cell r="B251" t="str">
            <v>C416</v>
          </cell>
          <cell r="N251">
            <v>6</v>
          </cell>
        </row>
        <row r="252">
          <cell r="B252" t="str">
            <v>C417</v>
          </cell>
          <cell r="N252">
            <v>13</v>
          </cell>
        </row>
        <row r="253">
          <cell r="B253" t="str">
            <v>C420</v>
          </cell>
          <cell r="N253">
            <v>7</v>
          </cell>
        </row>
        <row r="254">
          <cell r="B254" t="str">
            <v>C446</v>
          </cell>
          <cell r="N254">
            <v>10</v>
          </cell>
        </row>
        <row r="255">
          <cell r="B255" t="str">
            <v>C450</v>
          </cell>
          <cell r="N255">
            <v>6</v>
          </cell>
        </row>
        <row r="256">
          <cell r="B256" t="str">
            <v>C456</v>
          </cell>
          <cell r="N256">
            <v>13</v>
          </cell>
        </row>
        <row r="257">
          <cell r="B257" t="str">
            <v>C458</v>
          </cell>
          <cell r="N257">
            <v>6</v>
          </cell>
        </row>
        <row r="258">
          <cell r="B258" t="str">
            <v>C459</v>
          </cell>
          <cell r="N258">
            <v>22</v>
          </cell>
        </row>
        <row r="259">
          <cell r="B259" t="str">
            <v>C468</v>
          </cell>
          <cell r="N259">
            <v>4</v>
          </cell>
        </row>
        <row r="260">
          <cell r="B260" t="str">
            <v>C479</v>
          </cell>
          <cell r="N260">
            <v>4</v>
          </cell>
        </row>
        <row r="261">
          <cell r="B261" t="str">
            <v>C486</v>
          </cell>
          <cell r="N261">
            <v>27</v>
          </cell>
        </row>
        <row r="262">
          <cell r="B262" t="str">
            <v>C491</v>
          </cell>
          <cell r="N262">
            <v>20</v>
          </cell>
        </row>
        <row r="263">
          <cell r="B263" t="str">
            <v>C504</v>
          </cell>
          <cell r="N263">
            <v>11</v>
          </cell>
        </row>
        <row r="264">
          <cell r="B264" t="str">
            <v>C505</v>
          </cell>
          <cell r="N264">
            <v>61</v>
          </cell>
        </row>
        <row r="265">
          <cell r="B265" t="str">
            <v>C510</v>
          </cell>
          <cell r="N265">
            <v>202</v>
          </cell>
        </row>
        <row r="266">
          <cell r="B266" t="str">
            <v>C521</v>
          </cell>
          <cell r="N266">
            <v>13</v>
          </cell>
        </row>
        <row r="267">
          <cell r="B267" t="str">
            <v>C530</v>
          </cell>
          <cell r="N267">
            <v>17</v>
          </cell>
        </row>
        <row r="268">
          <cell r="B268" t="str">
            <v>C541</v>
          </cell>
          <cell r="N268">
            <v>4</v>
          </cell>
        </row>
        <row r="269">
          <cell r="B269" t="str">
            <v>C545</v>
          </cell>
          <cell r="N269">
            <v>10</v>
          </cell>
        </row>
        <row r="270">
          <cell r="B270" t="str">
            <v>C567</v>
          </cell>
          <cell r="N270">
            <v>20</v>
          </cell>
        </row>
        <row r="271">
          <cell r="B271" t="str">
            <v>C568</v>
          </cell>
          <cell r="N271">
            <v>18</v>
          </cell>
        </row>
        <row r="272">
          <cell r="B272" t="str">
            <v>C572</v>
          </cell>
          <cell r="N272">
            <v>94</v>
          </cell>
        </row>
        <row r="273">
          <cell r="B273" t="str">
            <v>C575</v>
          </cell>
          <cell r="N273">
            <v>27</v>
          </cell>
        </row>
        <row r="274">
          <cell r="B274" t="str">
            <v>C588</v>
          </cell>
          <cell r="N274">
            <v>108</v>
          </cell>
        </row>
        <row r="275">
          <cell r="B275" t="str">
            <v>C590</v>
          </cell>
          <cell r="N275">
            <v>13</v>
          </cell>
        </row>
        <row r="276">
          <cell r="B276" t="str">
            <v>C620</v>
          </cell>
          <cell r="N276">
            <v>21</v>
          </cell>
        </row>
        <row r="277">
          <cell r="B277" t="str">
            <v>C621</v>
          </cell>
          <cell r="N277">
            <v>50</v>
          </cell>
        </row>
        <row r="278">
          <cell r="B278" t="str">
            <v>C625</v>
          </cell>
          <cell r="N278">
            <v>57</v>
          </cell>
        </row>
        <row r="279">
          <cell r="B279" t="str">
            <v>C626</v>
          </cell>
          <cell r="N279">
            <v>19</v>
          </cell>
        </row>
        <row r="280">
          <cell r="B280" t="str">
            <v>C630</v>
          </cell>
          <cell r="N280">
            <v>22</v>
          </cell>
        </row>
        <row r="281">
          <cell r="B281" t="str">
            <v>C692</v>
          </cell>
          <cell r="N281">
            <v>5</v>
          </cell>
        </row>
        <row r="282">
          <cell r="B282" t="str">
            <v>C698</v>
          </cell>
          <cell r="N282">
            <v>5</v>
          </cell>
        </row>
        <row r="283">
          <cell r="B283" t="str">
            <v>C699</v>
          </cell>
          <cell r="N283">
            <v>3</v>
          </cell>
        </row>
        <row r="284">
          <cell r="B284" t="str">
            <v>C706</v>
          </cell>
          <cell r="N284">
            <v>20</v>
          </cell>
        </row>
        <row r="285">
          <cell r="B285" t="str">
            <v>C708</v>
          </cell>
          <cell r="N285">
            <v>26</v>
          </cell>
        </row>
        <row r="286">
          <cell r="B286" t="str">
            <v>C715</v>
          </cell>
          <cell r="N286">
            <v>31</v>
          </cell>
        </row>
        <row r="287">
          <cell r="B287" t="str">
            <v>C716</v>
          </cell>
          <cell r="N287">
            <v>9</v>
          </cell>
        </row>
        <row r="288">
          <cell r="B288" t="str">
            <v>C720</v>
          </cell>
          <cell r="N288">
            <v>11</v>
          </cell>
        </row>
        <row r="289">
          <cell r="B289" t="str">
            <v>C723</v>
          </cell>
          <cell r="N289">
            <v>29</v>
          </cell>
        </row>
        <row r="290">
          <cell r="B290" t="str">
            <v>C731</v>
          </cell>
          <cell r="N290">
            <v>12</v>
          </cell>
        </row>
        <row r="291">
          <cell r="B291" t="str">
            <v>C732</v>
          </cell>
          <cell r="N291">
            <v>13</v>
          </cell>
        </row>
        <row r="292">
          <cell r="B292" t="str">
            <v>C733</v>
          </cell>
          <cell r="N292">
            <v>31</v>
          </cell>
        </row>
        <row r="293">
          <cell r="B293" t="str">
            <v>C751</v>
          </cell>
          <cell r="N293">
            <v>5</v>
          </cell>
        </row>
        <row r="294">
          <cell r="B294" t="str">
            <v>C753</v>
          </cell>
          <cell r="N294">
            <v>18</v>
          </cell>
        </row>
        <row r="295">
          <cell r="B295" t="str">
            <v>C755</v>
          </cell>
          <cell r="N295">
            <v>4</v>
          </cell>
        </row>
        <row r="296">
          <cell r="B296" t="str">
            <v>C758</v>
          </cell>
          <cell r="N296">
            <v>30</v>
          </cell>
        </row>
        <row r="297">
          <cell r="B297" t="str">
            <v>C762</v>
          </cell>
          <cell r="N297">
            <v>1</v>
          </cell>
        </row>
        <row r="298">
          <cell r="B298" t="str">
            <v>C765</v>
          </cell>
          <cell r="N298">
            <v>7</v>
          </cell>
        </row>
        <row r="299">
          <cell r="B299" t="str">
            <v>C799</v>
          </cell>
          <cell r="N299">
            <v>30</v>
          </cell>
        </row>
        <row r="300">
          <cell r="B300" t="str">
            <v>C861</v>
          </cell>
          <cell r="N300">
            <v>0</v>
          </cell>
        </row>
        <row r="301">
          <cell r="B301" t="str">
            <v>C875</v>
          </cell>
          <cell r="N301">
            <v>9</v>
          </cell>
        </row>
        <row r="302">
          <cell r="B302" t="str">
            <v>C890</v>
          </cell>
          <cell r="N302">
            <v>17</v>
          </cell>
        </row>
        <row r="303">
          <cell r="B303" t="str">
            <v>C891</v>
          </cell>
          <cell r="N303">
            <v>6</v>
          </cell>
        </row>
        <row r="304">
          <cell r="B304" t="str">
            <v>C986</v>
          </cell>
          <cell r="N304">
            <v>19</v>
          </cell>
        </row>
        <row r="305">
          <cell r="N305">
            <v>3</v>
          </cell>
        </row>
        <row r="306">
          <cell r="N306">
            <v>51</v>
          </cell>
        </row>
        <row r="307">
          <cell r="B307" t="str">
            <v>CAMM1MINI</v>
          </cell>
          <cell r="N307">
            <v>6</v>
          </cell>
        </row>
        <row r="308">
          <cell r="B308" t="str">
            <v>CAMW15MINI</v>
          </cell>
          <cell r="N308">
            <v>70</v>
          </cell>
        </row>
        <row r="309">
          <cell r="B309" t="str">
            <v>CAMW2K</v>
          </cell>
          <cell r="N309">
            <v>27</v>
          </cell>
        </row>
        <row r="310">
          <cell r="N310">
            <v>2</v>
          </cell>
        </row>
        <row r="311">
          <cell r="N311">
            <v>3</v>
          </cell>
        </row>
        <row r="312">
          <cell r="N312">
            <v>1</v>
          </cell>
        </row>
        <row r="313">
          <cell r="N313">
            <v>1</v>
          </cell>
        </row>
        <row r="314">
          <cell r="N314">
            <v>1</v>
          </cell>
        </row>
        <row r="315">
          <cell r="N315">
            <v>2</v>
          </cell>
        </row>
        <row r="316">
          <cell r="N316">
            <v>1</v>
          </cell>
        </row>
        <row r="317">
          <cell r="N317">
            <v>1</v>
          </cell>
        </row>
        <row r="318">
          <cell r="N318">
            <v>3</v>
          </cell>
        </row>
        <row r="319">
          <cell r="N319">
            <v>1</v>
          </cell>
        </row>
        <row r="320">
          <cell r="N320">
            <v>4</v>
          </cell>
        </row>
        <row r="321">
          <cell r="N321">
            <v>1</v>
          </cell>
        </row>
        <row r="322">
          <cell r="N322">
            <v>1</v>
          </cell>
        </row>
        <row r="323">
          <cell r="N323">
            <v>1</v>
          </cell>
        </row>
        <row r="324">
          <cell r="N324">
            <v>1</v>
          </cell>
        </row>
        <row r="325">
          <cell r="N325">
            <v>2</v>
          </cell>
        </row>
        <row r="326">
          <cell r="N326">
            <v>1</v>
          </cell>
        </row>
        <row r="327">
          <cell r="N327">
            <v>1</v>
          </cell>
        </row>
        <row r="328">
          <cell r="N328">
            <v>1</v>
          </cell>
        </row>
        <row r="329">
          <cell r="N329">
            <v>3</v>
          </cell>
        </row>
        <row r="330">
          <cell r="N330">
            <v>1</v>
          </cell>
        </row>
        <row r="331">
          <cell r="N331">
            <v>1</v>
          </cell>
        </row>
        <row r="332">
          <cell r="N332">
            <v>1</v>
          </cell>
        </row>
        <row r="333">
          <cell r="N333">
            <v>1</v>
          </cell>
        </row>
        <row r="334">
          <cell r="N334">
            <v>1</v>
          </cell>
        </row>
        <row r="335">
          <cell r="N335">
            <v>3</v>
          </cell>
        </row>
        <row r="336">
          <cell r="N336">
            <v>1</v>
          </cell>
        </row>
        <row r="337">
          <cell r="N337">
            <v>1</v>
          </cell>
        </row>
        <row r="338">
          <cell r="N338">
            <v>3</v>
          </cell>
        </row>
        <row r="339">
          <cell r="N339">
            <v>1</v>
          </cell>
        </row>
        <row r="340">
          <cell r="N340">
            <v>6</v>
          </cell>
        </row>
        <row r="341">
          <cell r="N341">
            <v>3</v>
          </cell>
        </row>
        <row r="342">
          <cell r="N342">
            <v>5</v>
          </cell>
        </row>
        <row r="343">
          <cell r="N343">
            <v>2</v>
          </cell>
        </row>
        <row r="344">
          <cell r="N344">
            <v>1</v>
          </cell>
        </row>
        <row r="345">
          <cell r="N345">
            <v>1</v>
          </cell>
        </row>
        <row r="346">
          <cell r="N346">
            <v>3</v>
          </cell>
        </row>
        <row r="347">
          <cell r="N347">
            <v>4</v>
          </cell>
        </row>
        <row r="348">
          <cell r="N348">
            <v>1</v>
          </cell>
        </row>
        <row r="349">
          <cell r="N349">
            <v>1</v>
          </cell>
        </row>
        <row r="350">
          <cell r="N350">
            <v>1</v>
          </cell>
        </row>
        <row r="351">
          <cell r="N351">
            <v>2</v>
          </cell>
        </row>
        <row r="352">
          <cell r="N352">
            <v>1</v>
          </cell>
        </row>
        <row r="353">
          <cell r="N353">
            <v>2</v>
          </cell>
        </row>
        <row r="354">
          <cell r="N354">
            <v>1</v>
          </cell>
        </row>
        <row r="355">
          <cell r="N355">
            <v>1</v>
          </cell>
        </row>
        <row r="356">
          <cell r="N356">
            <v>1</v>
          </cell>
        </row>
        <row r="357">
          <cell r="N357">
            <v>4</v>
          </cell>
        </row>
        <row r="358">
          <cell r="N358">
            <v>2</v>
          </cell>
        </row>
        <row r="359">
          <cell r="N359">
            <v>2</v>
          </cell>
        </row>
        <row r="360">
          <cell r="N360">
            <v>4</v>
          </cell>
        </row>
        <row r="361">
          <cell r="N361">
            <v>1</v>
          </cell>
        </row>
        <row r="362">
          <cell r="N362">
            <v>80</v>
          </cell>
        </row>
        <row r="363">
          <cell r="N363">
            <v>71</v>
          </cell>
        </row>
        <row r="364">
          <cell r="N364">
            <v>366</v>
          </cell>
        </row>
        <row r="365">
          <cell r="N365">
            <v>472</v>
          </cell>
        </row>
        <row r="366">
          <cell r="N366">
            <v>162</v>
          </cell>
        </row>
        <row r="367">
          <cell r="N367">
            <v>407</v>
          </cell>
        </row>
        <row r="368">
          <cell r="N368">
            <v>242</v>
          </cell>
        </row>
        <row r="369">
          <cell r="N369">
            <v>58</v>
          </cell>
        </row>
        <row r="370">
          <cell r="N370">
            <v>184</v>
          </cell>
        </row>
        <row r="371">
          <cell r="N371">
            <v>4</v>
          </cell>
        </row>
        <row r="372">
          <cell r="N372">
            <v>128</v>
          </cell>
        </row>
        <row r="373">
          <cell r="B373" t="str">
            <v>CHANCAICLEARX</v>
          </cell>
          <cell r="N373">
            <v>27</v>
          </cell>
        </row>
        <row r="374">
          <cell r="B374" t="str">
            <v>CHANCAICLEARX</v>
          </cell>
          <cell r="N374">
            <v>146</v>
          </cell>
        </row>
        <row r="375">
          <cell r="B375" t="str">
            <v>CHANCAICLEARX</v>
          </cell>
          <cell r="N375">
            <v>0</v>
          </cell>
        </row>
        <row r="376">
          <cell r="B376" t="str">
            <v>CHANCAICLEARX</v>
          </cell>
          <cell r="N376">
            <v>152</v>
          </cell>
        </row>
        <row r="377">
          <cell r="B377" t="str">
            <v>CHANCAICLEARX</v>
          </cell>
          <cell r="N377">
            <v>211</v>
          </cell>
        </row>
        <row r="378">
          <cell r="B378" t="str">
            <v>CHANCAICLEARX</v>
          </cell>
          <cell r="N378">
            <v>134</v>
          </cell>
        </row>
        <row r="379">
          <cell r="B379" t="str">
            <v>CHANCAICLEARX</v>
          </cell>
          <cell r="N379">
            <v>151</v>
          </cell>
        </row>
        <row r="380">
          <cell r="B380" t="str">
            <v>CHANCAICLEARX</v>
          </cell>
          <cell r="N380">
            <v>260</v>
          </cell>
        </row>
        <row r="381">
          <cell r="B381" t="str">
            <v>CHANCAICLEARX</v>
          </cell>
          <cell r="N381">
            <v>188</v>
          </cell>
        </row>
        <row r="382">
          <cell r="B382" t="str">
            <v>CHANCAICLEARX</v>
          </cell>
          <cell r="N382">
            <v>199</v>
          </cell>
        </row>
        <row r="383">
          <cell r="B383" t="str">
            <v>CHANCAICLEARX</v>
          </cell>
          <cell r="N383">
            <v>67</v>
          </cell>
        </row>
        <row r="384">
          <cell r="B384" t="str">
            <v>CHANCAICLEARX</v>
          </cell>
          <cell r="N384">
            <v>31</v>
          </cell>
        </row>
        <row r="385">
          <cell r="B385" t="str">
            <v>CHANCAICLEARX</v>
          </cell>
          <cell r="N385">
            <v>193</v>
          </cell>
        </row>
        <row r="386">
          <cell r="B386" t="str">
            <v>CHANCAICLEARX</v>
          </cell>
          <cell r="N386">
            <v>234</v>
          </cell>
        </row>
        <row r="387">
          <cell r="B387" t="str">
            <v>CHANCAICLEARX</v>
          </cell>
          <cell r="N387">
            <v>239</v>
          </cell>
        </row>
        <row r="388">
          <cell r="B388" t="str">
            <v>CHANCAICLEARX</v>
          </cell>
          <cell r="N388">
            <v>59</v>
          </cell>
        </row>
        <row r="389">
          <cell r="B389" t="str">
            <v>CHANCAICLEARX</v>
          </cell>
          <cell r="N389">
            <v>188</v>
          </cell>
        </row>
        <row r="390">
          <cell r="B390" t="str">
            <v>D048</v>
          </cell>
          <cell r="N390">
            <v>17</v>
          </cell>
        </row>
        <row r="391">
          <cell r="B391" t="str">
            <v>D053</v>
          </cell>
          <cell r="N391">
            <v>50</v>
          </cell>
        </row>
        <row r="392">
          <cell r="B392" t="str">
            <v>D054</v>
          </cell>
          <cell r="N392">
            <v>42</v>
          </cell>
        </row>
        <row r="393">
          <cell r="B393" t="str">
            <v>D063</v>
          </cell>
          <cell r="N393">
            <v>81</v>
          </cell>
        </row>
        <row r="394">
          <cell r="B394" t="str">
            <v>D064</v>
          </cell>
          <cell r="N394">
            <v>43</v>
          </cell>
        </row>
        <row r="395">
          <cell r="B395" t="str">
            <v>D068</v>
          </cell>
          <cell r="N395">
            <v>0</v>
          </cell>
        </row>
        <row r="396">
          <cell r="B396" t="str">
            <v>D070</v>
          </cell>
          <cell r="N396">
            <v>89</v>
          </cell>
        </row>
        <row r="397">
          <cell r="B397" t="str">
            <v>D072</v>
          </cell>
          <cell r="N397">
            <v>15</v>
          </cell>
        </row>
        <row r="398">
          <cell r="B398" t="str">
            <v>D079</v>
          </cell>
          <cell r="N398">
            <v>37</v>
          </cell>
        </row>
        <row r="399">
          <cell r="B399" t="str">
            <v>D080</v>
          </cell>
          <cell r="N399">
            <v>22</v>
          </cell>
        </row>
        <row r="400">
          <cell r="B400" t="str">
            <v>D090</v>
          </cell>
          <cell r="N400">
            <v>0</v>
          </cell>
        </row>
        <row r="401">
          <cell r="B401" t="str">
            <v>D1SLED</v>
          </cell>
          <cell r="N401">
            <v>7</v>
          </cell>
        </row>
        <row r="402">
          <cell r="B402" t="str">
            <v>D2HLED</v>
          </cell>
          <cell r="N402">
            <v>46</v>
          </cell>
        </row>
        <row r="403">
          <cell r="B403" t="str">
            <v>D2R4300</v>
          </cell>
          <cell r="N403">
            <v>83</v>
          </cell>
        </row>
        <row r="404">
          <cell r="B404" t="str">
            <v>D2SLED</v>
          </cell>
          <cell r="N404">
            <v>47</v>
          </cell>
        </row>
        <row r="405">
          <cell r="B405" t="str">
            <v>D3SLED</v>
          </cell>
          <cell r="N405">
            <v>26</v>
          </cell>
        </row>
        <row r="406">
          <cell r="B406" t="str">
            <v>D4SLED</v>
          </cell>
          <cell r="N406">
            <v>69</v>
          </cell>
        </row>
        <row r="407">
          <cell r="B407" t="str">
            <v>D502</v>
          </cell>
          <cell r="N407">
            <v>2</v>
          </cell>
        </row>
        <row r="408">
          <cell r="B408" t="str">
            <v>D518</v>
          </cell>
          <cell r="N408">
            <v>1</v>
          </cell>
        </row>
        <row r="409">
          <cell r="B409" t="str">
            <v>D543</v>
          </cell>
          <cell r="N409">
            <v>10</v>
          </cell>
        </row>
        <row r="410">
          <cell r="B410" t="str">
            <v>D578</v>
          </cell>
          <cell r="N410">
            <v>5</v>
          </cell>
        </row>
        <row r="411">
          <cell r="B411" t="str">
            <v>D595</v>
          </cell>
          <cell r="N411">
            <v>2</v>
          </cell>
        </row>
        <row r="412">
          <cell r="B412" t="str">
            <v>D597</v>
          </cell>
          <cell r="N412">
            <v>3</v>
          </cell>
        </row>
        <row r="413">
          <cell r="B413" t="str">
            <v>D5SLED</v>
          </cell>
          <cell r="N413">
            <v>12</v>
          </cell>
        </row>
        <row r="414">
          <cell r="B414" t="str">
            <v>D612</v>
          </cell>
          <cell r="N414">
            <v>2</v>
          </cell>
        </row>
        <row r="415">
          <cell r="B415" t="str">
            <v>D617</v>
          </cell>
          <cell r="N415">
            <v>55</v>
          </cell>
        </row>
        <row r="416">
          <cell r="B416" t="str">
            <v>D618</v>
          </cell>
          <cell r="N416">
            <v>17</v>
          </cell>
        </row>
        <row r="417">
          <cell r="B417" t="str">
            <v>D622</v>
          </cell>
          <cell r="N417">
            <v>26</v>
          </cell>
        </row>
        <row r="418">
          <cell r="B418" t="str">
            <v>D632</v>
          </cell>
          <cell r="N418">
            <v>94</v>
          </cell>
        </row>
        <row r="419">
          <cell r="B419" t="str">
            <v>D633</v>
          </cell>
          <cell r="N419">
            <v>2</v>
          </cell>
        </row>
        <row r="420">
          <cell r="B420" t="str">
            <v>D635</v>
          </cell>
          <cell r="N420">
            <v>70</v>
          </cell>
        </row>
        <row r="421">
          <cell r="B421" t="str">
            <v>D637</v>
          </cell>
          <cell r="N421">
            <v>151</v>
          </cell>
        </row>
        <row r="422">
          <cell r="B422" t="str">
            <v>D639</v>
          </cell>
          <cell r="N422">
            <v>28</v>
          </cell>
        </row>
        <row r="423">
          <cell r="B423" t="str">
            <v>D646</v>
          </cell>
          <cell r="N423">
            <v>31</v>
          </cell>
        </row>
        <row r="424">
          <cell r="B424" t="str">
            <v>D647</v>
          </cell>
          <cell r="N424">
            <v>22</v>
          </cell>
        </row>
        <row r="425">
          <cell r="B425" t="str">
            <v>D657</v>
          </cell>
          <cell r="N425">
            <v>5</v>
          </cell>
        </row>
        <row r="426">
          <cell r="B426" t="str">
            <v>D661</v>
          </cell>
          <cell r="N426">
            <v>9</v>
          </cell>
        </row>
        <row r="427">
          <cell r="B427" t="str">
            <v>D677</v>
          </cell>
          <cell r="N427">
            <v>0</v>
          </cell>
        </row>
        <row r="428">
          <cell r="B428" t="str">
            <v>D689</v>
          </cell>
          <cell r="N428">
            <v>9</v>
          </cell>
        </row>
        <row r="429">
          <cell r="B429" t="str">
            <v>D690</v>
          </cell>
          <cell r="N429">
            <v>3</v>
          </cell>
        </row>
        <row r="430">
          <cell r="B430" t="str">
            <v>D696</v>
          </cell>
          <cell r="N430">
            <v>4</v>
          </cell>
        </row>
        <row r="431">
          <cell r="B431" t="str">
            <v>D697</v>
          </cell>
          <cell r="N431">
            <v>221</v>
          </cell>
        </row>
        <row r="432">
          <cell r="B432" t="str">
            <v>D711</v>
          </cell>
          <cell r="N432">
            <v>144</v>
          </cell>
        </row>
        <row r="433">
          <cell r="B433" t="str">
            <v>D717</v>
          </cell>
          <cell r="N433">
            <v>34</v>
          </cell>
        </row>
        <row r="434">
          <cell r="B434" t="str">
            <v>D718</v>
          </cell>
          <cell r="N434">
            <v>1</v>
          </cell>
        </row>
        <row r="435">
          <cell r="B435" t="str">
            <v>D719</v>
          </cell>
          <cell r="N435">
            <v>36</v>
          </cell>
        </row>
        <row r="436">
          <cell r="B436" t="str">
            <v>D723</v>
          </cell>
          <cell r="N436">
            <v>16</v>
          </cell>
        </row>
        <row r="437">
          <cell r="B437" t="str">
            <v>D725</v>
          </cell>
          <cell r="N437">
            <v>111</v>
          </cell>
        </row>
        <row r="438">
          <cell r="B438" t="str">
            <v>D742</v>
          </cell>
          <cell r="N438">
            <v>50</v>
          </cell>
        </row>
        <row r="439">
          <cell r="B439" t="str">
            <v>D757</v>
          </cell>
          <cell r="N439">
            <v>0</v>
          </cell>
        </row>
        <row r="440">
          <cell r="B440" t="str">
            <v>D761</v>
          </cell>
          <cell r="N440">
            <v>123</v>
          </cell>
        </row>
        <row r="441">
          <cell r="B441" t="str">
            <v>D765</v>
          </cell>
          <cell r="N441">
            <v>27</v>
          </cell>
        </row>
        <row r="442">
          <cell r="B442" t="str">
            <v>D775</v>
          </cell>
          <cell r="N442">
            <v>40</v>
          </cell>
        </row>
        <row r="443">
          <cell r="B443" t="str">
            <v>D781</v>
          </cell>
          <cell r="N443">
            <v>8</v>
          </cell>
        </row>
        <row r="444">
          <cell r="B444" t="str">
            <v>D782</v>
          </cell>
          <cell r="N444">
            <v>4</v>
          </cell>
        </row>
        <row r="445">
          <cell r="B445" t="str">
            <v>D789</v>
          </cell>
          <cell r="N445">
            <v>7</v>
          </cell>
        </row>
        <row r="446">
          <cell r="B446" t="str">
            <v>D798</v>
          </cell>
          <cell r="N446">
            <v>9</v>
          </cell>
        </row>
        <row r="447">
          <cell r="B447" t="str">
            <v>D801</v>
          </cell>
          <cell r="N447">
            <v>5</v>
          </cell>
        </row>
        <row r="448">
          <cell r="B448" t="str">
            <v>D806</v>
          </cell>
          <cell r="N448">
            <v>3</v>
          </cell>
        </row>
        <row r="449">
          <cell r="B449" t="str">
            <v>D812</v>
          </cell>
          <cell r="N449">
            <v>27</v>
          </cell>
        </row>
        <row r="450">
          <cell r="B450" t="str">
            <v>D816</v>
          </cell>
          <cell r="N450">
            <v>20</v>
          </cell>
        </row>
        <row r="451">
          <cell r="B451" t="str">
            <v>D817</v>
          </cell>
          <cell r="N451">
            <v>24</v>
          </cell>
        </row>
        <row r="452">
          <cell r="B452" t="str">
            <v>D819</v>
          </cell>
          <cell r="N452">
            <v>1</v>
          </cell>
        </row>
        <row r="453">
          <cell r="B453" t="str">
            <v>D824</v>
          </cell>
          <cell r="N453">
            <v>1</v>
          </cell>
        </row>
        <row r="454">
          <cell r="B454" t="str">
            <v>D828</v>
          </cell>
          <cell r="N454">
            <v>3</v>
          </cell>
        </row>
        <row r="455">
          <cell r="B455" t="str">
            <v>D844</v>
          </cell>
          <cell r="N455">
            <v>8</v>
          </cell>
        </row>
        <row r="456">
          <cell r="B456" t="str">
            <v>D869</v>
          </cell>
          <cell r="N456">
            <v>11</v>
          </cell>
        </row>
        <row r="457">
          <cell r="B457" t="str">
            <v>D874</v>
          </cell>
          <cell r="N457">
            <v>2</v>
          </cell>
        </row>
        <row r="458">
          <cell r="B458" t="str">
            <v>D879</v>
          </cell>
          <cell r="N458">
            <v>74</v>
          </cell>
        </row>
        <row r="459">
          <cell r="B459" t="str">
            <v>D880</v>
          </cell>
          <cell r="N459">
            <v>15</v>
          </cell>
        </row>
        <row r="460">
          <cell r="B460" t="str">
            <v>D881</v>
          </cell>
          <cell r="N460">
            <v>2</v>
          </cell>
        </row>
        <row r="461">
          <cell r="B461" t="str">
            <v>D887</v>
          </cell>
          <cell r="N461">
            <v>6</v>
          </cell>
        </row>
        <row r="462">
          <cell r="B462" t="str">
            <v>D893</v>
          </cell>
          <cell r="N462">
            <v>2</v>
          </cell>
        </row>
        <row r="463">
          <cell r="B463" t="str">
            <v>D894</v>
          </cell>
          <cell r="N463">
            <v>2</v>
          </cell>
        </row>
        <row r="464">
          <cell r="B464" t="str">
            <v>D941</v>
          </cell>
          <cell r="N464">
            <v>9</v>
          </cell>
        </row>
        <row r="465">
          <cell r="N465">
            <v>14</v>
          </cell>
        </row>
        <row r="466">
          <cell r="B466" t="str">
            <v>D963</v>
          </cell>
          <cell r="N466">
            <v>105</v>
          </cell>
        </row>
        <row r="467">
          <cell r="B467" t="str">
            <v>D964</v>
          </cell>
          <cell r="N467">
            <v>0</v>
          </cell>
        </row>
        <row r="468">
          <cell r="B468" t="str">
            <v>D966</v>
          </cell>
          <cell r="N468">
            <v>166</v>
          </cell>
        </row>
        <row r="469">
          <cell r="B469" t="str">
            <v>D971</v>
          </cell>
          <cell r="N469">
            <v>3</v>
          </cell>
        </row>
        <row r="470">
          <cell r="B470" t="str">
            <v>D980</v>
          </cell>
          <cell r="N470">
            <v>2</v>
          </cell>
        </row>
        <row r="471">
          <cell r="B471" t="str">
            <v>D983</v>
          </cell>
          <cell r="N471">
            <v>2</v>
          </cell>
        </row>
        <row r="472">
          <cell r="B472" t="str">
            <v>D986</v>
          </cell>
          <cell r="N472">
            <v>9</v>
          </cell>
        </row>
        <row r="473">
          <cell r="B473" t="str">
            <v>D993</v>
          </cell>
          <cell r="N473">
            <v>271</v>
          </cell>
        </row>
        <row r="474">
          <cell r="B474" t="str">
            <v>D994</v>
          </cell>
          <cell r="N474">
            <v>107</v>
          </cell>
        </row>
        <row r="475">
          <cell r="B475" t="str">
            <v>D997</v>
          </cell>
          <cell r="N475">
            <v>60</v>
          </cell>
        </row>
        <row r="476">
          <cell r="N476">
            <v>8</v>
          </cell>
        </row>
        <row r="477">
          <cell r="N477">
            <v>1</v>
          </cell>
        </row>
        <row r="478">
          <cell r="N478">
            <v>1</v>
          </cell>
        </row>
        <row r="479">
          <cell r="B479" t="str">
            <v>E011</v>
          </cell>
          <cell r="N479">
            <v>1</v>
          </cell>
        </row>
        <row r="480">
          <cell r="B480" t="str">
            <v>E019</v>
          </cell>
          <cell r="N480">
            <v>15</v>
          </cell>
        </row>
        <row r="481">
          <cell r="B481" t="str">
            <v>E052</v>
          </cell>
          <cell r="N481">
            <v>3</v>
          </cell>
        </row>
        <row r="482">
          <cell r="B482" t="str">
            <v>E054</v>
          </cell>
          <cell r="N482">
            <v>142</v>
          </cell>
        </row>
        <row r="483">
          <cell r="B483" t="str">
            <v>E073</v>
          </cell>
          <cell r="N483">
            <v>56</v>
          </cell>
        </row>
        <row r="484">
          <cell r="B484" t="str">
            <v>E074</v>
          </cell>
          <cell r="N484">
            <v>1</v>
          </cell>
        </row>
        <row r="485">
          <cell r="B485" t="str">
            <v>E077</v>
          </cell>
          <cell r="N485">
            <v>24</v>
          </cell>
        </row>
        <row r="486">
          <cell r="B486" t="str">
            <v>E082</v>
          </cell>
          <cell r="N486">
            <v>141</v>
          </cell>
        </row>
        <row r="487">
          <cell r="B487" t="str">
            <v>E132</v>
          </cell>
          <cell r="N487">
            <v>36</v>
          </cell>
        </row>
        <row r="488">
          <cell r="B488" t="str">
            <v>E227</v>
          </cell>
          <cell r="N488">
            <v>14</v>
          </cell>
        </row>
        <row r="489">
          <cell r="B489" t="str">
            <v>E228</v>
          </cell>
          <cell r="N489">
            <v>50</v>
          </cell>
        </row>
        <row r="490">
          <cell r="B490" t="str">
            <v>E242</v>
          </cell>
          <cell r="N490">
            <v>12</v>
          </cell>
        </row>
        <row r="491">
          <cell r="B491" t="str">
            <v>E243</v>
          </cell>
          <cell r="N491">
            <v>0</v>
          </cell>
        </row>
        <row r="492">
          <cell r="B492" t="str">
            <v>E250</v>
          </cell>
          <cell r="N492">
            <v>206</v>
          </cell>
        </row>
        <row r="493">
          <cell r="B493" t="str">
            <v>E260</v>
          </cell>
          <cell r="N493">
            <v>45</v>
          </cell>
        </row>
        <row r="494">
          <cell r="B494" t="str">
            <v>E264</v>
          </cell>
          <cell r="N494">
            <v>265</v>
          </cell>
        </row>
        <row r="495">
          <cell r="B495" t="str">
            <v>E302</v>
          </cell>
          <cell r="N495">
            <v>38</v>
          </cell>
        </row>
        <row r="496">
          <cell r="B496" t="str">
            <v>E452</v>
          </cell>
          <cell r="N496">
            <v>9</v>
          </cell>
        </row>
        <row r="497">
          <cell r="B497" t="str">
            <v>F2NIGHTHAWK</v>
          </cell>
          <cell r="N497">
            <v>2</v>
          </cell>
        </row>
        <row r="498">
          <cell r="B498" t="str">
            <v>F3ULTRA3609005</v>
          </cell>
          <cell r="N498">
            <v>94</v>
          </cell>
        </row>
        <row r="499">
          <cell r="B499" t="str">
            <v>F3ULTRA360H11</v>
          </cell>
          <cell r="N499">
            <v>28</v>
          </cell>
        </row>
        <row r="500">
          <cell r="B500" t="str">
            <v>F3ULTRA360H4</v>
          </cell>
          <cell r="N500">
            <v>119</v>
          </cell>
        </row>
        <row r="501">
          <cell r="B501" t="str">
            <v>F3ULTRA360H7</v>
          </cell>
          <cell r="N501">
            <v>49</v>
          </cell>
        </row>
        <row r="502">
          <cell r="B502" t="str">
            <v>F80TURBO</v>
          </cell>
          <cell r="N502">
            <v>21</v>
          </cell>
        </row>
        <row r="503">
          <cell r="B503" t="str">
            <v>F80TURBO</v>
          </cell>
          <cell r="N503">
            <v>2</v>
          </cell>
        </row>
        <row r="504">
          <cell r="B504" t="str">
            <v>F80TURBO</v>
          </cell>
          <cell r="N504">
            <v>23</v>
          </cell>
        </row>
        <row r="505">
          <cell r="B505" t="str">
            <v>F80TURBO</v>
          </cell>
          <cell r="N505">
            <v>37</v>
          </cell>
        </row>
        <row r="506">
          <cell r="B506" t="str">
            <v>F80TURBO</v>
          </cell>
          <cell r="N506">
            <v>38</v>
          </cell>
        </row>
        <row r="507">
          <cell r="B507" t="str">
            <v>F80TURBO</v>
          </cell>
          <cell r="N507">
            <v>132</v>
          </cell>
        </row>
        <row r="508">
          <cell r="B508" t="str">
            <v>F80TURBO</v>
          </cell>
          <cell r="N508">
            <v>132</v>
          </cell>
        </row>
        <row r="509">
          <cell r="B509" t="str">
            <v>F9TRICOLOR</v>
          </cell>
          <cell r="N509">
            <v>260</v>
          </cell>
        </row>
        <row r="510">
          <cell r="B510" t="str">
            <v>F9TRICOLOR</v>
          </cell>
          <cell r="N510">
            <v>282</v>
          </cell>
        </row>
        <row r="511">
          <cell r="N511">
            <v>21</v>
          </cell>
        </row>
        <row r="512">
          <cell r="N512">
            <v>34</v>
          </cell>
        </row>
        <row r="513">
          <cell r="B513" t="str">
            <v>F9LASERTRICOLOR</v>
          </cell>
          <cell r="N513">
            <v>13</v>
          </cell>
        </row>
        <row r="514">
          <cell r="B514" t="str">
            <v>F9LASERTRICOLOR</v>
          </cell>
          <cell r="N514">
            <v>40</v>
          </cell>
        </row>
        <row r="515">
          <cell r="N515">
            <v>26</v>
          </cell>
        </row>
        <row r="516">
          <cell r="N516">
            <v>32</v>
          </cell>
        </row>
        <row r="517">
          <cell r="N517">
            <v>29</v>
          </cell>
        </row>
        <row r="518">
          <cell r="N518">
            <v>36</v>
          </cell>
        </row>
        <row r="519">
          <cell r="N519">
            <v>1</v>
          </cell>
        </row>
        <row r="520">
          <cell r="N520">
            <v>7</v>
          </cell>
        </row>
        <row r="521">
          <cell r="N521">
            <v>13</v>
          </cell>
        </row>
        <row r="522">
          <cell r="N522">
            <v>19</v>
          </cell>
        </row>
        <row r="523">
          <cell r="N523">
            <v>28</v>
          </cell>
        </row>
        <row r="524">
          <cell r="N524">
            <v>7</v>
          </cell>
        </row>
        <row r="525">
          <cell r="N525">
            <v>30.5</v>
          </cell>
        </row>
        <row r="526">
          <cell r="N526">
            <v>5</v>
          </cell>
        </row>
        <row r="527">
          <cell r="N527">
            <v>1</v>
          </cell>
        </row>
        <row r="528">
          <cell r="N528">
            <v>48</v>
          </cell>
        </row>
        <row r="529">
          <cell r="N529">
            <v>130</v>
          </cell>
        </row>
        <row r="530">
          <cell r="N530">
            <v>7</v>
          </cell>
        </row>
        <row r="531">
          <cell r="N531">
            <v>30</v>
          </cell>
        </row>
        <row r="532">
          <cell r="N532">
            <v>1</v>
          </cell>
        </row>
        <row r="533">
          <cell r="N533">
            <v>10</v>
          </cell>
        </row>
        <row r="534">
          <cell r="N534">
            <v>7</v>
          </cell>
        </row>
        <row r="535">
          <cell r="N535">
            <v>10</v>
          </cell>
        </row>
        <row r="536">
          <cell r="N536">
            <v>7</v>
          </cell>
        </row>
        <row r="537">
          <cell r="N537">
            <v>208</v>
          </cell>
        </row>
        <row r="538">
          <cell r="N538">
            <v>1</v>
          </cell>
        </row>
        <row r="539">
          <cell r="N539">
            <v>52</v>
          </cell>
        </row>
        <row r="540">
          <cell r="N540">
            <v>143</v>
          </cell>
        </row>
        <row r="541">
          <cell r="N541">
            <v>76</v>
          </cell>
        </row>
        <row r="542">
          <cell r="N542">
            <v>43</v>
          </cell>
        </row>
        <row r="543">
          <cell r="N543">
            <v>64</v>
          </cell>
        </row>
        <row r="544">
          <cell r="N544">
            <v>1</v>
          </cell>
        </row>
        <row r="545">
          <cell r="N545">
            <v>17</v>
          </cell>
        </row>
        <row r="546">
          <cell r="N546">
            <v>10</v>
          </cell>
        </row>
        <row r="547">
          <cell r="N547">
            <v>55</v>
          </cell>
        </row>
        <row r="548">
          <cell r="N548">
            <v>8</v>
          </cell>
        </row>
        <row r="549">
          <cell r="N549">
            <v>192</v>
          </cell>
        </row>
        <row r="550">
          <cell r="N550">
            <v>896</v>
          </cell>
        </row>
        <row r="551">
          <cell r="B551" t="str">
            <v>TPMS</v>
          </cell>
          <cell r="N551">
            <v>38</v>
          </cell>
        </row>
        <row r="552">
          <cell r="N552">
            <v>724</v>
          </cell>
        </row>
        <row r="553">
          <cell r="N553">
            <v>23</v>
          </cell>
        </row>
        <row r="554">
          <cell r="N554">
            <v>61</v>
          </cell>
        </row>
        <row r="555">
          <cell r="N555">
            <v>2</v>
          </cell>
        </row>
        <row r="556">
          <cell r="N556">
            <v>2</v>
          </cell>
        </row>
        <row r="557">
          <cell r="N557">
            <v>38</v>
          </cell>
        </row>
        <row r="558">
          <cell r="N558">
            <v>6</v>
          </cell>
        </row>
        <row r="559">
          <cell r="N559">
            <v>9</v>
          </cell>
        </row>
        <row r="560">
          <cell r="N560">
            <v>1</v>
          </cell>
        </row>
        <row r="561">
          <cell r="N561">
            <v>4</v>
          </cell>
        </row>
        <row r="562">
          <cell r="N562">
            <v>3</v>
          </cell>
        </row>
        <row r="563">
          <cell r="B563" t="str">
            <v>L338OT</v>
          </cell>
          <cell r="N563">
            <v>41</v>
          </cell>
        </row>
        <row r="564">
          <cell r="B564" t="str">
            <v>L338OT</v>
          </cell>
          <cell r="N564">
            <v>1</v>
          </cell>
        </row>
        <row r="565">
          <cell r="B565" t="str">
            <v>L368VC</v>
          </cell>
          <cell r="N565">
            <v>26</v>
          </cell>
        </row>
        <row r="566">
          <cell r="N566">
            <v>0</v>
          </cell>
        </row>
        <row r="567">
          <cell r="N567">
            <v>31</v>
          </cell>
        </row>
        <row r="568">
          <cell r="N568">
            <v>1</v>
          </cell>
        </row>
        <row r="569">
          <cell r="B569" t="str">
            <v>L566-PS</v>
          </cell>
          <cell r="N569">
            <v>49</v>
          </cell>
        </row>
        <row r="570">
          <cell r="B570" t="str">
            <v>L566-PS</v>
          </cell>
          <cell r="N570">
            <v>33</v>
          </cell>
        </row>
        <row r="571">
          <cell r="B571" t="str">
            <v>L566-PS</v>
          </cell>
          <cell r="N571">
            <v>6</v>
          </cell>
        </row>
        <row r="572">
          <cell r="B572" t="str">
            <v>L566-PS</v>
          </cell>
          <cell r="N572">
            <v>14</v>
          </cell>
        </row>
        <row r="573">
          <cell r="N573">
            <v>40</v>
          </cell>
        </row>
        <row r="574">
          <cell r="B574" t="str">
            <v>L575-PS</v>
          </cell>
          <cell r="N574">
            <v>2</v>
          </cell>
        </row>
        <row r="575">
          <cell r="B575" t="str">
            <v>L575-PS</v>
          </cell>
          <cell r="N575">
            <v>0</v>
          </cell>
        </row>
        <row r="576">
          <cell r="N576">
            <v>0</v>
          </cell>
        </row>
        <row r="577">
          <cell r="N577">
            <v>474</v>
          </cell>
        </row>
        <row r="578">
          <cell r="N578">
            <v>250</v>
          </cell>
        </row>
        <row r="579">
          <cell r="B579" t="str">
            <v>L602-RJ</v>
          </cell>
          <cell r="N579">
            <v>94</v>
          </cell>
        </row>
        <row r="580">
          <cell r="B580" t="str">
            <v>L609AT</v>
          </cell>
          <cell r="N580">
            <v>572</v>
          </cell>
        </row>
        <row r="581">
          <cell r="B581" t="str">
            <v>L609AT</v>
          </cell>
          <cell r="N581">
            <v>52</v>
          </cell>
        </row>
        <row r="582">
          <cell r="B582" t="str">
            <v>L630Special</v>
          </cell>
          <cell r="N582">
            <v>9</v>
          </cell>
        </row>
        <row r="583">
          <cell r="B583" t="str">
            <v>L632Toyota</v>
          </cell>
          <cell r="N583">
            <v>7</v>
          </cell>
        </row>
        <row r="584">
          <cell r="B584" t="str">
            <v>L633Honda</v>
          </cell>
          <cell r="N584">
            <v>7</v>
          </cell>
        </row>
        <row r="585">
          <cell r="B585" t="str">
            <v>L635Android</v>
          </cell>
          <cell r="N585">
            <v>27</v>
          </cell>
        </row>
        <row r="586">
          <cell r="B586" t="str">
            <v>L638Standard</v>
          </cell>
          <cell r="N586">
            <v>20</v>
          </cell>
        </row>
        <row r="587">
          <cell r="B587" t="str">
            <v>L639ToyotaNew</v>
          </cell>
          <cell r="N587">
            <v>5</v>
          </cell>
        </row>
        <row r="588">
          <cell r="B588" t="str">
            <v>L838</v>
          </cell>
          <cell r="N588">
            <v>9</v>
          </cell>
        </row>
        <row r="589">
          <cell r="B589" t="str">
            <v>L906</v>
          </cell>
          <cell r="N589">
            <v>979</v>
          </cell>
        </row>
        <row r="590">
          <cell r="N590">
            <v>1</v>
          </cell>
        </row>
        <row r="591">
          <cell r="N591">
            <v>11</v>
          </cell>
        </row>
        <row r="592">
          <cell r="N592">
            <v>0</v>
          </cell>
        </row>
        <row r="593">
          <cell r="N593">
            <v>22</v>
          </cell>
        </row>
        <row r="594">
          <cell r="N594">
            <v>0</v>
          </cell>
        </row>
        <row r="595">
          <cell r="B595" t="str">
            <v>F3ULTRA9006</v>
          </cell>
          <cell r="N595">
            <v>1</v>
          </cell>
        </row>
        <row r="596">
          <cell r="B596" t="str">
            <v>F3ULTRAH11</v>
          </cell>
          <cell r="N596">
            <v>77</v>
          </cell>
        </row>
        <row r="597">
          <cell r="B597" t="str">
            <v>F3ULTRAH15</v>
          </cell>
          <cell r="N597">
            <v>2</v>
          </cell>
        </row>
        <row r="598">
          <cell r="B598" t="str">
            <v>F3ULTRAH1</v>
          </cell>
          <cell r="N598">
            <v>35</v>
          </cell>
        </row>
        <row r="599">
          <cell r="B599" t="str">
            <v>F3ULTRAH3</v>
          </cell>
          <cell r="N599">
            <v>13</v>
          </cell>
        </row>
        <row r="600">
          <cell r="B600" t="str">
            <v>F3ULTRAH4</v>
          </cell>
          <cell r="N600">
            <v>118</v>
          </cell>
        </row>
        <row r="601">
          <cell r="B601" t="str">
            <v>F3ULTRAH7</v>
          </cell>
          <cell r="N601">
            <v>121</v>
          </cell>
        </row>
        <row r="602">
          <cell r="N602">
            <v>9</v>
          </cell>
        </row>
        <row r="603">
          <cell r="N603">
            <v>11</v>
          </cell>
        </row>
        <row r="604">
          <cell r="N604">
            <v>13</v>
          </cell>
        </row>
        <row r="605">
          <cell r="B605" t="str">
            <v>LEDS19005NEW</v>
          </cell>
          <cell r="N605">
            <v>23</v>
          </cell>
        </row>
        <row r="606">
          <cell r="N606">
            <v>0</v>
          </cell>
        </row>
        <row r="607">
          <cell r="B607" t="str">
            <v>LEDS1H11NEW</v>
          </cell>
          <cell r="N607">
            <v>23</v>
          </cell>
        </row>
        <row r="608">
          <cell r="B608" t="str">
            <v>LEDS1H1NEW</v>
          </cell>
          <cell r="N608">
            <v>3</v>
          </cell>
        </row>
        <row r="609">
          <cell r="B609" t="str">
            <v>LEDS1H4NEW</v>
          </cell>
          <cell r="N609">
            <v>84</v>
          </cell>
        </row>
        <row r="610">
          <cell r="B610" t="str">
            <v>LEDS1H7NEW</v>
          </cell>
          <cell r="N610">
            <v>24</v>
          </cell>
        </row>
        <row r="611">
          <cell r="B611" t="str">
            <v>LEDS55NEW881</v>
          </cell>
          <cell r="N611">
            <v>5</v>
          </cell>
        </row>
        <row r="612">
          <cell r="B612" t="str">
            <v>LEDS55NEWH11</v>
          </cell>
          <cell r="N612">
            <v>41</v>
          </cell>
        </row>
        <row r="613">
          <cell r="B613" t="str">
            <v>LEDS55NEWH4</v>
          </cell>
          <cell r="N613">
            <v>111</v>
          </cell>
        </row>
        <row r="614">
          <cell r="B614" t="str">
            <v>LEDS55NEWH7</v>
          </cell>
          <cell r="N614">
            <v>96</v>
          </cell>
        </row>
        <row r="615">
          <cell r="N615">
            <v>41</v>
          </cell>
        </row>
        <row r="616">
          <cell r="N616">
            <v>67</v>
          </cell>
        </row>
        <row r="617">
          <cell r="N617">
            <v>0</v>
          </cell>
        </row>
        <row r="618">
          <cell r="N618">
            <v>15</v>
          </cell>
        </row>
        <row r="619">
          <cell r="N619">
            <v>27</v>
          </cell>
        </row>
        <row r="620">
          <cell r="N620">
            <v>27</v>
          </cell>
        </row>
        <row r="621">
          <cell r="N621">
            <v>17</v>
          </cell>
        </row>
        <row r="622">
          <cell r="N622">
            <v>29</v>
          </cell>
        </row>
        <row r="623">
          <cell r="N623">
            <v>1</v>
          </cell>
        </row>
        <row r="624">
          <cell r="N624">
            <v>2</v>
          </cell>
        </row>
        <row r="625">
          <cell r="N625">
            <v>2</v>
          </cell>
        </row>
        <row r="626">
          <cell r="N626">
            <v>1</v>
          </cell>
        </row>
        <row r="627">
          <cell r="N627">
            <v>41</v>
          </cell>
        </row>
        <row r="628">
          <cell r="N628">
            <v>1</v>
          </cell>
        </row>
        <row r="629">
          <cell r="N629">
            <v>1</v>
          </cell>
        </row>
        <row r="630">
          <cell r="N630">
            <v>1</v>
          </cell>
        </row>
        <row r="631">
          <cell r="N631">
            <v>2</v>
          </cell>
        </row>
        <row r="632">
          <cell r="N632">
            <v>2</v>
          </cell>
        </row>
        <row r="633">
          <cell r="N633">
            <v>1</v>
          </cell>
        </row>
        <row r="634">
          <cell r="N634">
            <v>1</v>
          </cell>
        </row>
        <row r="635">
          <cell r="N635">
            <v>1</v>
          </cell>
        </row>
        <row r="636">
          <cell r="N636">
            <v>1</v>
          </cell>
        </row>
        <row r="637">
          <cell r="N637">
            <v>1</v>
          </cell>
        </row>
        <row r="638">
          <cell r="N638">
            <v>1</v>
          </cell>
        </row>
        <row r="639">
          <cell r="N639">
            <v>1</v>
          </cell>
        </row>
        <row r="640">
          <cell r="N640">
            <v>1</v>
          </cell>
        </row>
        <row r="641">
          <cell r="N641">
            <v>1</v>
          </cell>
        </row>
        <row r="642">
          <cell r="N642">
            <v>1</v>
          </cell>
        </row>
        <row r="643">
          <cell r="N643">
            <v>1</v>
          </cell>
        </row>
        <row r="644">
          <cell r="N644">
            <v>1</v>
          </cell>
        </row>
        <row r="645">
          <cell r="N645">
            <v>1</v>
          </cell>
        </row>
        <row r="646">
          <cell r="N646">
            <v>3</v>
          </cell>
        </row>
        <row r="647">
          <cell r="N647">
            <v>1</v>
          </cell>
        </row>
        <row r="648">
          <cell r="N648">
            <v>1</v>
          </cell>
        </row>
        <row r="649">
          <cell r="N649">
            <v>1</v>
          </cell>
        </row>
        <row r="650">
          <cell r="N650">
            <v>1</v>
          </cell>
        </row>
        <row r="651">
          <cell r="N651">
            <v>2</v>
          </cell>
        </row>
        <row r="652">
          <cell r="N652">
            <v>2</v>
          </cell>
        </row>
        <row r="653">
          <cell r="N653">
            <v>2</v>
          </cell>
        </row>
        <row r="654">
          <cell r="N654">
            <v>99</v>
          </cell>
        </row>
        <row r="655">
          <cell r="N655">
            <v>47</v>
          </cell>
        </row>
        <row r="656">
          <cell r="N656">
            <v>70</v>
          </cell>
        </row>
        <row r="657">
          <cell r="N657">
            <v>15</v>
          </cell>
        </row>
        <row r="658">
          <cell r="B658" t="str">
            <v>MAXVISION</v>
          </cell>
          <cell r="N658">
            <v>528</v>
          </cell>
        </row>
        <row r="659">
          <cell r="B659" t="str">
            <v>MAXVISION</v>
          </cell>
          <cell r="N659">
            <v>1134</v>
          </cell>
        </row>
        <row r="660">
          <cell r="B660" t="str">
            <v>MAXVISION</v>
          </cell>
          <cell r="N660">
            <v>474</v>
          </cell>
        </row>
        <row r="661">
          <cell r="B661" t="str">
            <v>MAXVISION</v>
          </cell>
          <cell r="N661">
            <v>54</v>
          </cell>
        </row>
        <row r="662">
          <cell r="B662" t="str">
            <v>MAXVISION</v>
          </cell>
          <cell r="N662">
            <v>168</v>
          </cell>
        </row>
        <row r="663">
          <cell r="B663" t="str">
            <v>MAXVISION</v>
          </cell>
          <cell r="N663">
            <v>71</v>
          </cell>
        </row>
        <row r="664">
          <cell r="B664" t="str">
            <v>MAXVISION</v>
          </cell>
          <cell r="N664">
            <v>487</v>
          </cell>
        </row>
        <row r="665">
          <cell r="B665" t="str">
            <v>MAXVISION</v>
          </cell>
          <cell r="N665">
            <v>750</v>
          </cell>
        </row>
        <row r="666">
          <cell r="B666" t="str">
            <v>MAXVISION</v>
          </cell>
          <cell r="N666">
            <v>238</v>
          </cell>
        </row>
        <row r="667">
          <cell r="B667" t="str">
            <v>MAXVISION</v>
          </cell>
          <cell r="N667">
            <v>44</v>
          </cell>
        </row>
        <row r="668">
          <cell r="B668" t="str">
            <v>F2NIGHTHAWK</v>
          </cell>
          <cell r="N668">
            <v>6</v>
          </cell>
        </row>
        <row r="669">
          <cell r="N669">
            <v>43</v>
          </cell>
        </row>
        <row r="670">
          <cell r="N670">
            <v>25</v>
          </cell>
        </row>
        <row r="671">
          <cell r="B671" t="str">
            <v>MAXF95000K</v>
          </cell>
          <cell r="N671">
            <v>465</v>
          </cell>
        </row>
        <row r="672">
          <cell r="B672" t="str">
            <v>MAXF95000K</v>
          </cell>
          <cell r="N672">
            <v>300</v>
          </cell>
        </row>
        <row r="673">
          <cell r="N673">
            <v>1</v>
          </cell>
        </row>
        <row r="674">
          <cell r="N674">
            <v>106</v>
          </cell>
        </row>
        <row r="675">
          <cell r="N675">
            <v>22</v>
          </cell>
        </row>
        <row r="676">
          <cell r="N676">
            <v>1</v>
          </cell>
        </row>
        <row r="677">
          <cell r="N677">
            <v>4</v>
          </cell>
        </row>
        <row r="678">
          <cell r="N678">
            <v>34</v>
          </cell>
        </row>
        <row r="679">
          <cell r="N679">
            <v>3</v>
          </cell>
        </row>
        <row r="680">
          <cell r="N680">
            <v>1</v>
          </cell>
        </row>
        <row r="681">
          <cell r="B681" t="str">
            <v>MEGAVISION</v>
          </cell>
          <cell r="N681">
            <v>1</v>
          </cell>
        </row>
        <row r="682">
          <cell r="B682" t="str">
            <v>MEGAVISION</v>
          </cell>
          <cell r="N682">
            <v>111</v>
          </cell>
        </row>
        <row r="683">
          <cell r="B683" t="str">
            <v>MEGAVISION</v>
          </cell>
          <cell r="N683">
            <v>1</v>
          </cell>
        </row>
        <row r="684">
          <cell r="B684" t="str">
            <v>MEGAVISION</v>
          </cell>
          <cell r="N684">
            <v>0</v>
          </cell>
        </row>
        <row r="685">
          <cell r="B685" t="str">
            <v>MEGAVISION</v>
          </cell>
          <cell r="N685">
            <v>2</v>
          </cell>
        </row>
        <row r="686">
          <cell r="N686">
            <v>108</v>
          </cell>
        </row>
        <row r="687">
          <cell r="N687">
            <v>94</v>
          </cell>
        </row>
        <row r="688">
          <cell r="N688">
            <v>3</v>
          </cell>
        </row>
        <row r="689">
          <cell r="N689">
            <v>1</v>
          </cell>
        </row>
        <row r="690">
          <cell r="N690">
            <v>1</v>
          </cell>
        </row>
        <row r="691">
          <cell r="N691">
            <v>19</v>
          </cell>
        </row>
        <row r="692">
          <cell r="N692">
            <v>0</v>
          </cell>
        </row>
        <row r="693">
          <cell r="N693">
            <v>978</v>
          </cell>
        </row>
        <row r="694">
          <cell r="B694" t="str">
            <v>NRKCLEARX</v>
          </cell>
          <cell r="N694">
            <v>9077</v>
          </cell>
        </row>
        <row r="695">
          <cell r="N695">
            <v>600</v>
          </cell>
        </row>
        <row r="696">
          <cell r="N696">
            <v>21000</v>
          </cell>
        </row>
        <row r="697">
          <cell r="B697" t="str">
            <v>P316</v>
          </cell>
          <cell r="N697">
            <v>281</v>
          </cell>
        </row>
        <row r="698">
          <cell r="N698">
            <v>2</v>
          </cell>
        </row>
        <row r="699">
          <cell r="N699">
            <v>1000</v>
          </cell>
        </row>
        <row r="700">
          <cell r="N700">
            <v>266</v>
          </cell>
        </row>
        <row r="701">
          <cell r="N701">
            <v>35</v>
          </cell>
        </row>
        <row r="702">
          <cell r="N702">
            <v>98</v>
          </cell>
        </row>
        <row r="703">
          <cell r="N703">
            <v>57</v>
          </cell>
        </row>
        <row r="704">
          <cell r="N704">
            <v>22</v>
          </cell>
        </row>
        <row r="705">
          <cell r="N705">
            <v>51</v>
          </cell>
        </row>
        <row r="706">
          <cell r="N706">
            <v>0</v>
          </cell>
        </row>
        <row r="707">
          <cell r="N707">
            <v>2</v>
          </cell>
        </row>
        <row r="708">
          <cell r="B708" t="str">
            <v>RHOC43</v>
          </cell>
          <cell r="N708">
            <v>7</v>
          </cell>
        </row>
        <row r="709">
          <cell r="B709" t="str">
            <v>RS12</v>
          </cell>
          <cell r="N709">
            <v>24</v>
          </cell>
        </row>
        <row r="710">
          <cell r="B710" t="str">
            <v>RS12</v>
          </cell>
          <cell r="N710">
            <v>8</v>
          </cell>
        </row>
        <row r="711">
          <cell r="B711" t="str">
            <v>RS23</v>
          </cell>
          <cell r="N711">
            <v>10</v>
          </cell>
        </row>
        <row r="712">
          <cell r="B712" t="str">
            <v>RS25</v>
          </cell>
          <cell r="N712">
            <v>58</v>
          </cell>
        </row>
        <row r="713">
          <cell r="B713" t="str">
            <v>RS47T</v>
          </cell>
          <cell r="N713">
            <v>0</v>
          </cell>
        </row>
        <row r="714">
          <cell r="B714" t="str">
            <v>LEDS19005NEW</v>
          </cell>
          <cell r="N714">
            <v>10</v>
          </cell>
        </row>
        <row r="715">
          <cell r="B715" t="str">
            <v>LEDS19005NEW</v>
          </cell>
          <cell r="N715">
            <v>0</v>
          </cell>
        </row>
        <row r="716">
          <cell r="B716" t="str">
            <v>S689SG</v>
          </cell>
          <cell r="N716">
            <v>1318</v>
          </cell>
        </row>
        <row r="717">
          <cell r="B717" t="str">
            <v>S782SG</v>
          </cell>
          <cell r="N717">
            <v>617</v>
          </cell>
        </row>
        <row r="718">
          <cell r="N718">
            <v>828</v>
          </cell>
        </row>
        <row r="719">
          <cell r="N719">
            <v>5</v>
          </cell>
        </row>
        <row r="720">
          <cell r="N720">
            <v>3254</v>
          </cell>
        </row>
        <row r="721">
          <cell r="B721" t="str">
            <v>SH201SMARTHOLDER</v>
          </cell>
          <cell r="N721">
            <v>315</v>
          </cell>
        </row>
        <row r="722">
          <cell r="B722" t="str">
            <v>SP588SMARTPOWER</v>
          </cell>
          <cell r="N722">
            <v>439</v>
          </cell>
        </row>
        <row r="723">
          <cell r="N723">
            <v>88</v>
          </cell>
        </row>
        <row r="724">
          <cell r="N724">
            <v>9</v>
          </cell>
        </row>
        <row r="725">
          <cell r="N725">
            <v>28</v>
          </cell>
        </row>
        <row r="726">
          <cell r="N726">
            <v>1412</v>
          </cell>
        </row>
        <row r="727">
          <cell r="N727">
            <v>100</v>
          </cell>
        </row>
        <row r="728">
          <cell r="N728">
            <v>78</v>
          </cell>
        </row>
        <row r="729">
          <cell r="N729">
            <v>36</v>
          </cell>
        </row>
        <row r="730">
          <cell r="N730">
            <v>140</v>
          </cell>
        </row>
        <row r="731">
          <cell r="N731">
            <v>80</v>
          </cell>
        </row>
        <row r="732">
          <cell r="N732">
            <v>132</v>
          </cell>
        </row>
        <row r="733">
          <cell r="N733">
            <v>232</v>
          </cell>
        </row>
        <row r="734">
          <cell r="N734">
            <v>3079</v>
          </cell>
        </row>
        <row r="735">
          <cell r="N735">
            <v>1170</v>
          </cell>
        </row>
        <row r="736">
          <cell r="N736">
            <v>6</v>
          </cell>
        </row>
        <row r="737">
          <cell r="N737">
            <v>6</v>
          </cell>
        </row>
        <row r="738">
          <cell r="N738">
            <v>1</v>
          </cell>
        </row>
        <row r="739">
          <cell r="N739">
            <v>21</v>
          </cell>
        </row>
        <row r="740">
          <cell r="N740">
            <v>112</v>
          </cell>
        </row>
        <row r="741">
          <cell r="N741">
            <v>28</v>
          </cell>
        </row>
        <row r="742">
          <cell r="N742">
            <v>39</v>
          </cell>
        </row>
        <row r="743">
          <cell r="N743">
            <v>74</v>
          </cell>
        </row>
        <row r="744">
          <cell r="N744">
            <v>5</v>
          </cell>
        </row>
        <row r="745">
          <cell r="N745">
            <v>58</v>
          </cell>
        </row>
        <row r="746">
          <cell r="N746">
            <v>110</v>
          </cell>
        </row>
        <row r="747">
          <cell r="N747">
            <v>780</v>
          </cell>
        </row>
        <row r="748">
          <cell r="N748">
            <v>40</v>
          </cell>
        </row>
        <row r="749">
          <cell r="N749">
            <v>373</v>
          </cell>
        </row>
        <row r="750">
          <cell r="N750">
            <v>182</v>
          </cell>
        </row>
        <row r="751">
          <cell r="N751">
            <v>93</v>
          </cell>
        </row>
        <row r="752">
          <cell r="N752">
            <v>68</v>
          </cell>
        </row>
        <row r="753">
          <cell r="N753">
            <v>230</v>
          </cell>
        </row>
        <row r="754">
          <cell r="N754">
            <v>15</v>
          </cell>
        </row>
        <row r="755">
          <cell r="N755">
            <v>77</v>
          </cell>
        </row>
        <row r="756">
          <cell r="N756">
            <v>352</v>
          </cell>
        </row>
        <row r="757">
          <cell r="N757">
            <v>238</v>
          </cell>
        </row>
        <row r="758">
          <cell r="N758">
            <v>68</v>
          </cell>
        </row>
        <row r="759">
          <cell r="N759">
            <v>6</v>
          </cell>
        </row>
        <row r="760">
          <cell r="N760">
            <v>147</v>
          </cell>
        </row>
        <row r="761">
          <cell r="B761" t="str">
            <v>D816</v>
          </cell>
          <cell r="N761">
            <v>9</v>
          </cell>
        </row>
        <row r="762">
          <cell r="B762" t="str">
            <v>D817</v>
          </cell>
          <cell r="N762">
            <v>2</v>
          </cell>
        </row>
        <row r="763">
          <cell r="B763" t="str">
            <v>D819</v>
          </cell>
          <cell r="N763">
            <v>1</v>
          </cell>
        </row>
        <row r="764">
          <cell r="B764" t="str">
            <v>D879</v>
          </cell>
          <cell r="N764">
            <v>2</v>
          </cell>
        </row>
        <row r="765">
          <cell r="B765" t="str">
            <v>D880</v>
          </cell>
          <cell r="N765">
            <v>1</v>
          </cell>
        </row>
        <row r="766">
          <cell r="B766" t="str">
            <v>D971</v>
          </cell>
          <cell r="N766">
            <v>2</v>
          </cell>
        </row>
        <row r="767">
          <cell r="B767" t="str">
            <v>A080</v>
          </cell>
          <cell r="N767">
            <v>3</v>
          </cell>
        </row>
        <row r="768">
          <cell r="B768" t="str">
            <v>A116</v>
          </cell>
          <cell r="N768">
            <v>62</v>
          </cell>
        </row>
        <row r="769">
          <cell r="B769" t="str">
            <v>A117</v>
          </cell>
          <cell r="N769">
            <v>12</v>
          </cell>
        </row>
        <row r="770">
          <cell r="B770" t="str">
            <v>A118</v>
          </cell>
          <cell r="N770">
            <v>11</v>
          </cell>
        </row>
        <row r="771">
          <cell r="B771" t="str">
            <v>A119</v>
          </cell>
          <cell r="N771">
            <v>13</v>
          </cell>
        </row>
        <row r="772">
          <cell r="B772" t="str">
            <v>A121</v>
          </cell>
          <cell r="N772">
            <v>10</v>
          </cell>
        </row>
        <row r="773">
          <cell r="B773" t="str">
            <v>A139</v>
          </cell>
          <cell r="N773">
            <v>8</v>
          </cell>
        </row>
        <row r="774">
          <cell r="B774" t="str">
            <v>A140</v>
          </cell>
          <cell r="N774">
            <v>228</v>
          </cell>
        </row>
        <row r="775">
          <cell r="B775" t="str">
            <v>A144</v>
          </cell>
          <cell r="N775">
            <v>107</v>
          </cell>
        </row>
        <row r="776">
          <cell r="B776" t="str">
            <v>A145</v>
          </cell>
          <cell r="N776">
            <v>70</v>
          </cell>
        </row>
        <row r="777">
          <cell r="B777" t="str">
            <v>A155</v>
          </cell>
          <cell r="N777">
            <v>1</v>
          </cell>
        </row>
        <row r="778">
          <cell r="B778" t="str">
            <v>A156</v>
          </cell>
          <cell r="N778">
            <v>18</v>
          </cell>
        </row>
        <row r="779">
          <cell r="B779" t="str">
            <v>A167</v>
          </cell>
          <cell r="N779">
            <v>1</v>
          </cell>
        </row>
        <row r="780">
          <cell r="B780" t="str">
            <v>A195</v>
          </cell>
          <cell r="N780">
            <v>8</v>
          </cell>
        </row>
        <row r="781">
          <cell r="B781" t="str">
            <v>A251</v>
          </cell>
          <cell r="N781">
            <v>1</v>
          </cell>
        </row>
        <row r="782">
          <cell r="B782" t="str">
            <v>A308</v>
          </cell>
          <cell r="N782">
            <v>11</v>
          </cell>
        </row>
        <row r="783">
          <cell r="B783" t="str">
            <v>A312</v>
          </cell>
          <cell r="N783">
            <v>5</v>
          </cell>
        </row>
        <row r="784">
          <cell r="B784" t="str">
            <v>A339</v>
          </cell>
          <cell r="N784">
            <v>2</v>
          </cell>
        </row>
        <row r="785">
          <cell r="B785" t="str">
            <v>A360</v>
          </cell>
          <cell r="N785">
            <v>1</v>
          </cell>
        </row>
        <row r="786">
          <cell r="B786" t="str">
            <v>A365</v>
          </cell>
          <cell r="N786">
            <v>1</v>
          </cell>
        </row>
        <row r="787">
          <cell r="B787" t="str">
            <v>A436</v>
          </cell>
          <cell r="N787">
            <v>1</v>
          </cell>
        </row>
        <row r="788">
          <cell r="B788" t="str">
            <v>A441</v>
          </cell>
          <cell r="N788">
            <v>1</v>
          </cell>
        </row>
        <row r="789">
          <cell r="B789" t="str">
            <v>A460</v>
          </cell>
          <cell r="N789">
            <v>1</v>
          </cell>
        </row>
        <row r="790">
          <cell r="B790" t="str">
            <v>A478</v>
          </cell>
          <cell r="N790">
            <v>5</v>
          </cell>
        </row>
        <row r="791">
          <cell r="B791" t="str">
            <v>A495</v>
          </cell>
          <cell r="N791">
            <v>24</v>
          </cell>
        </row>
        <row r="792">
          <cell r="B792" t="str">
            <v>A497</v>
          </cell>
          <cell r="N792">
            <v>174</v>
          </cell>
        </row>
        <row r="793">
          <cell r="B793" t="str">
            <v>A498</v>
          </cell>
          <cell r="N793">
            <v>7</v>
          </cell>
        </row>
        <row r="794">
          <cell r="B794" t="str">
            <v>A529</v>
          </cell>
          <cell r="N794">
            <v>55</v>
          </cell>
        </row>
        <row r="795">
          <cell r="B795" t="str">
            <v>A532</v>
          </cell>
          <cell r="N795">
            <v>2</v>
          </cell>
        </row>
        <row r="796">
          <cell r="B796" t="str">
            <v>A576</v>
          </cell>
          <cell r="N796">
            <v>1</v>
          </cell>
        </row>
        <row r="797">
          <cell r="B797" t="str">
            <v>A624</v>
          </cell>
          <cell r="N797">
            <v>2</v>
          </cell>
        </row>
        <row r="798">
          <cell r="B798" t="str">
            <v>A636</v>
          </cell>
          <cell r="N798">
            <v>2</v>
          </cell>
        </row>
        <row r="799">
          <cell r="B799" t="str">
            <v>A641</v>
          </cell>
          <cell r="N799">
            <v>1</v>
          </cell>
        </row>
        <row r="800">
          <cell r="B800" t="str">
            <v>A648</v>
          </cell>
          <cell r="N800">
            <v>4</v>
          </cell>
        </row>
        <row r="801">
          <cell r="B801" t="str">
            <v>A653</v>
          </cell>
          <cell r="N801">
            <v>6</v>
          </cell>
        </row>
        <row r="802">
          <cell r="B802" t="str">
            <v>A654</v>
          </cell>
          <cell r="N802">
            <v>1</v>
          </cell>
        </row>
        <row r="803">
          <cell r="B803" t="str">
            <v>A720</v>
          </cell>
          <cell r="N803">
            <v>10</v>
          </cell>
        </row>
        <row r="804">
          <cell r="B804" t="str">
            <v>A727</v>
          </cell>
          <cell r="N804">
            <v>2</v>
          </cell>
        </row>
        <row r="805">
          <cell r="B805" t="str">
            <v>A729</v>
          </cell>
          <cell r="N805">
            <v>1</v>
          </cell>
        </row>
        <row r="806">
          <cell r="B806" t="str">
            <v>A730</v>
          </cell>
          <cell r="N806">
            <v>1</v>
          </cell>
        </row>
        <row r="807">
          <cell r="B807" t="str">
            <v>A733</v>
          </cell>
          <cell r="N807">
            <v>7</v>
          </cell>
        </row>
        <row r="808">
          <cell r="B808" t="str">
            <v>A737</v>
          </cell>
          <cell r="N808">
            <v>4</v>
          </cell>
        </row>
        <row r="809">
          <cell r="B809" t="str">
            <v>A777</v>
          </cell>
          <cell r="N809">
            <v>1</v>
          </cell>
        </row>
        <row r="810">
          <cell r="B810" t="str">
            <v>A785</v>
          </cell>
          <cell r="N810">
            <v>1</v>
          </cell>
        </row>
        <row r="811">
          <cell r="B811" t="str">
            <v>A861</v>
          </cell>
          <cell r="N811">
            <v>4</v>
          </cell>
        </row>
        <row r="812">
          <cell r="B812" t="str">
            <v>A862</v>
          </cell>
          <cell r="N812">
            <v>3</v>
          </cell>
        </row>
        <row r="813">
          <cell r="B813" t="str">
            <v>A874</v>
          </cell>
          <cell r="N813">
            <v>1</v>
          </cell>
        </row>
        <row r="814">
          <cell r="B814" t="str">
            <v>A897</v>
          </cell>
          <cell r="N814">
            <v>1</v>
          </cell>
        </row>
        <row r="815">
          <cell r="B815" t="str">
            <v>A911</v>
          </cell>
          <cell r="N815">
            <v>10</v>
          </cell>
        </row>
        <row r="816">
          <cell r="B816" t="str">
            <v>A924</v>
          </cell>
          <cell r="N816">
            <v>2</v>
          </cell>
        </row>
        <row r="817">
          <cell r="B817" t="str">
            <v>A925</v>
          </cell>
          <cell r="N817">
            <v>1</v>
          </cell>
        </row>
        <row r="818">
          <cell r="B818" t="str">
            <v>A942</v>
          </cell>
          <cell r="N818">
            <v>15</v>
          </cell>
        </row>
        <row r="819">
          <cell r="B819" t="str">
            <v>A946</v>
          </cell>
          <cell r="N819">
            <v>1</v>
          </cell>
        </row>
        <row r="820">
          <cell r="B820" t="str">
            <v>A951</v>
          </cell>
          <cell r="N820">
            <v>15</v>
          </cell>
        </row>
        <row r="821">
          <cell r="B821" t="str">
            <v>B237</v>
          </cell>
          <cell r="N821">
            <v>8</v>
          </cell>
        </row>
        <row r="822">
          <cell r="B822" t="str">
            <v>B248</v>
          </cell>
          <cell r="N822">
            <v>2</v>
          </cell>
        </row>
        <row r="823">
          <cell r="B823" t="str">
            <v>B268</v>
          </cell>
          <cell r="N823">
            <v>14</v>
          </cell>
        </row>
        <row r="824">
          <cell r="B824" t="str">
            <v>B303</v>
          </cell>
          <cell r="N824">
            <v>1</v>
          </cell>
        </row>
        <row r="825">
          <cell r="B825" t="str">
            <v>B305</v>
          </cell>
          <cell r="N825">
            <v>32</v>
          </cell>
        </row>
        <row r="826">
          <cell r="B826" t="str">
            <v>B312</v>
          </cell>
          <cell r="N826">
            <v>4</v>
          </cell>
        </row>
        <row r="827">
          <cell r="B827" t="str">
            <v>B316</v>
          </cell>
          <cell r="N827">
            <v>1</v>
          </cell>
        </row>
        <row r="828">
          <cell r="B828" t="str">
            <v>B318</v>
          </cell>
          <cell r="N828">
            <v>1</v>
          </cell>
        </row>
        <row r="829">
          <cell r="B829" t="str">
            <v>B335</v>
          </cell>
          <cell r="N829">
            <v>7</v>
          </cell>
        </row>
        <row r="830">
          <cell r="B830" t="str">
            <v>B347</v>
          </cell>
          <cell r="N830">
            <v>11</v>
          </cell>
        </row>
        <row r="831">
          <cell r="B831" t="str">
            <v>B354</v>
          </cell>
          <cell r="N831">
            <v>5</v>
          </cell>
        </row>
        <row r="832">
          <cell r="B832" t="str">
            <v>B358</v>
          </cell>
          <cell r="N832">
            <v>2</v>
          </cell>
        </row>
        <row r="833">
          <cell r="B833" t="str">
            <v>B359</v>
          </cell>
          <cell r="N833">
            <v>1</v>
          </cell>
        </row>
        <row r="834">
          <cell r="B834" t="str">
            <v>B367</v>
          </cell>
          <cell r="N834">
            <v>11</v>
          </cell>
        </row>
        <row r="835">
          <cell r="B835" t="str">
            <v>B372</v>
          </cell>
          <cell r="N835">
            <v>7</v>
          </cell>
        </row>
        <row r="836">
          <cell r="B836" t="str">
            <v>B401</v>
          </cell>
          <cell r="N836">
            <v>9</v>
          </cell>
        </row>
        <row r="837">
          <cell r="B837" t="str">
            <v>B427</v>
          </cell>
          <cell r="N837">
            <v>9</v>
          </cell>
        </row>
        <row r="838">
          <cell r="B838" t="str">
            <v>B433</v>
          </cell>
          <cell r="N838">
            <v>14</v>
          </cell>
        </row>
        <row r="839">
          <cell r="B839" t="str">
            <v>B460</v>
          </cell>
          <cell r="N839">
            <v>8</v>
          </cell>
        </row>
        <row r="840">
          <cell r="B840" t="str">
            <v>B466</v>
          </cell>
          <cell r="N840">
            <v>2</v>
          </cell>
        </row>
        <row r="841">
          <cell r="B841" t="str">
            <v>B480</v>
          </cell>
          <cell r="N841">
            <v>1</v>
          </cell>
        </row>
        <row r="842">
          <cell r="B842" t="str">
            <v>B508</v>
          </cell>
          <cell r="N842">
            <v>1</v>
          </cell>
        </row>
        <row r="843">
          <cell r="B843" t="str">
            <v>B605</v>
          </cell>
          <cell r="N843">
            <v>1</v>
          </cell>
        </row>
        <row r="844">
          <cell r="B844" t="str">
            <v>B616</v>
          </cell>
          <cell r="N844">
            <v>74</v>
          </cell>
        </row>
        <row r="845">
          <cell r="B845" t="str">
            <v>B622</v>
          </cell>
          <cell r="N845">
            <v>3</v>
          </cell>
        </row>
        <row r="846">
          <cell r="B846" t="str">
            <v>B661</v>
          </cell>
          <cell r="N846">
            <v>1</v>
          </cell>
        </row>
        <row r="847">
          <cell r="B847" t="str">
            <v>B687</v>
          </cell>
          <cell r="N847">
            <v>4</v>
          </cell>
        </row>
        <row r="848">
          <cell r="B848" t="str">
            <v>B689</v>
          </cell>
          <cell r="N848">
            <v>3</v>
          </cell>
        </row>
        <row r="849">
          <cell r="B849" t="str">
            <v>B699</v>
          </cell>
          <cell r="N849">
            <v>5</v>
          </cell>
        </row>
        <row r="850">
          <cell r="B850" t="str">
            <v>B716</v>
          </cell>
          <cell r="N850">
            <v>7</v>
          </cell>
        </row>
        <row r="851">
          <cell r="B851" t="str">
            <v>B718</v>
          </cell>
          <cell r="N851">
            <v>6</v>
          </cell>
        </row>
        <row r="852">
          <cell r="B852" t="str">
            <v>B721</v>
          </cell>
          <cell r="N852">
            <v>9</v>
          </cell>
        </row>
        <row r="853">
          <cell r="B853" t="str">
            <v>B742</v>
          </cell>
          <cell r="N853">
            <v>3</v>
          </cell>
        </row>
        <row r="854">
          <cell r="B854" t="str">
            <v>B748</v>
          </cell>
          <cell r="N854">
            <v>2</v>
          </cell>
        </row>
        <row r="855">
          <cell r="B855" t="str">
            <v>B750</v>
          </cell>
          <cell r="N855">
            <v>1</v>
          </cell>
        </row>
        <row r="856">
          <cell r="B856" t="str">
            <v>B804</v>
          </cell>
          <cell r="N856">
            <v>1</v>
          </cell>
        </row>
        <row r="857">
          <cell r="B857" t="str">
            <v>B861</v>
          </cell>
          <cell r="N857">
            <v>9</v>
          </cell>
        </row>
        <row r="858">
          <cell r="B858" t="str">
            <v>B875</v>
          </cell>
          <cell r="N858">
            <v>1</v>
          </cell>
        </row>
        <row r="859">
          <cell r="B859" t="str">
            <v>B908</v>
          </cell>
          <cell r="N859">
            <v>22</v>
          </cell>
        </row>
        <row r="860">
          <cell r="B860" t="str">
            <v>B915</v>
          </cell>
          <cell r="N860">
            <v>2</v>
          </cell>
        </row>
        <row r="861">
          <cell r="B861" t="str">
            <v>B917</v>
          </cell>
          <cell r="N861">
            <v>3</v>
          </cell>
        </row>
        <row r="862">
          <cell r="B862" t="str">
            <v>B920</v>
          </cell>
          <cell r="N862">
            <v>18</v>
          </cell>
        </row>
        <row r="863">
          <cell r="B863" t="str">
            <v>B923</v>
          </cell>
          <cell r="N863">
            <v>40</v>
          </cell>
        </row>
        <row r="864">
          <cell r="B864" t="str">
            <v>B934</v>
          </cell>
          <cell r="N864">
            <v>4</v>
          </cell>
        </row>
        <row r="865">
          <cell r="B865" t="str">
            <v>C088</v>
          </cell>
          <cell r="N865">
            <v>2</v>
          </cell>
        </row>
        <row r="866">
          <cell r="B866" t="str">
            <v>C101</v>
          </cell>
          <cell r="N866">
            <v>1</v>
          </cell>
        </row>
        <row r="867">
          <cell r="B867" t="str">
            <v>C105</v>
          </cell>
          <cell r="N867">
            <v>13</v>
          </cell>
        </row>
        <row r="868">
          <cell r="B868" t="str">
            <v>C106</v>
          </cell>
          <cell r="N868">
            <v>23</v>
          </cell>
        </row>
        <row r="869">
          <cell r="B869" t="str">
            <v>C110</v>
          </cell>
          <cell r="N869">
            <v>3</v>
          </cell>
        </row>
        <row r="870">
          <cell r="B870" t="str">
            <v>C111</v>
          </cell>
          <cell r="N870">
            <v>29</v>
          </cell>
        </row>
        <row r="871">
          <cell r="B871" t="str">
            <v>C115</v>
          </cell>
          <cell r="N871">
            <v>9</v>
          </cell>
        </row>
        <row r="872">
          <cell r="B872" t="str">
            <v>C119</v>
          </cell>
          <cell r="N872">
            <v>11</v>
          </cell>
        </row>
        <row r="873">
          <cell r="B873" t="str">
            <v>C125</v>
          </cell>
          <cell r="N873">
            <v>8</v>
          </cell>
        </row>
        <row r="874">
          <cell r="B874" t="str">
            <v>C126</v>
          </cell>
          <cell r="N874">
            <v>23</v>
          </cell>
        </row>
        <row r="875">
          <cell r="B875" t="str">
            <v>C139</v>
          </cell>
          <cell r="N875">
            <v>19</v>
          </cell>
        </row>
        <row r="876">
          <cell r="B876" t="str">
            <v>C151</v>
          </cell>
          <cell r="N876">
            <v>5</v>
          </cell>
        </row>
        <row r="877">
          <cell r="B877" t="str">
            <v>C159</v>
          </cell>
          <cell r="N877">
            <v>2</v>
          </cell>
        </row>
        <row r="878">
          <cell r="B878" t="str">
            <v>C185</v>
          </cell>
          <cell r="N878">
            <v>5</v>
          </cell>
        </row>
        <row r="879">
          <cell r="B879" t="str">
            <v>C249</v>
          </cell>
          <cell r="N879">
            <v>3</v>
          </cell>
        </row>
        <row r="880">
          <cell r="B880" t="str">
            <v>C254</v>
          </cell>
          <cell r="N880">
            <v>1</v>
          </cell>
        </row>
        <row r="881">
          <cell r="B881" t="str">
            <v>C260</v>
          </cell>
          <cell r="N881">
            <v>4</v>
          </cell>
        </row>
        <row r="882">
          <cell r="B882" t="str">
            <v>C264</v>
          </cell>
          <cell r="N882">
            <v>2</v>
          </cell>
        </row>
        <row r="883">
          <cell r="B883" t="str">
            <v>C273</v>
          </cell>
          <cell r="N883">
            <v>5</v>
          </cell>
        </row>
        <row r="884">
          <cell r="B884" t="str">
            <v>C275</v>
          </cell>
          <cell r="N884">
            <v>3</v>
          </cell>
        </row>
        <row r="885">
          <cell r="B885" t="str">
            <v>C276</v>
          </cell>
          <cell r="N885">
            <v>19</v>
          </cell>
        </row>
        <row r="886">
          <cell r="B886" t="str">
            <v>C279</v>
          </cell>
          <cell r="N886">
            <v>10</v>
          </cell>
        </row>
        <row r="887">
          <cell r="B887" t="str">
            <v>C282</v>
          </cell>
          <cell r="N887">
            <v>21</v>
          </cell>
        </row>
        <row r="888">
          <cell r="B888" t="str">
            <v>C290</v>
          </cell>
          <cell r="N888">
            <v>3</v>
          </cell>
        </row>
        <row r="889">
          <cell r="B889" t="str">
            <v>C302</v>
          </cell>
          <cell r="N889">
            <v>4</v>
          </cell>
        </row>
        <row r="890">
          <cell r="B890" t="str">
            <v>C333</v>
          </cell>
          <cell r="N890">
            <v>3</v>
          </cell>
        </row>
        <row r="891">
          <cell r="B891" t="str">
            <v>C361</v>
          </cell>
          <cell r="N891">
            <v>2</v>
          </cell>
        </row>
        <row r="892">
          <cell r="B892" t="str">
            <v>C418</v>
          </cell>
          <cell r="N892">
            <v>4</v>
          </cell>
        </row>
        <row r="893">
          <cell r="B893" t="str">
            <v>C419</v>
          </cell>
          <cell r="N893">
            <v>8</v>
          </cell>
        </row>
        <row r="894">
          <cell r="B894" t="str">
            <v>C420</v>
          </cell>
          <cell r="N894">
            <v>29</v>
          </cell>
        </row>
        <row r="895">
          <cell r="B895" t="str">
            <v>C446</v>
          </cell>
          <cell r="N895">
            <v>1</v>
          </cell>
        </row>
        <row r="896">
          <cell r="B896" t="str">
            <v>C473</v>
          </cell>
          <cell r="N896">
            <v>31</v>
          </cell>
        </row>
        <row r="897">
          <cell r="B897" t="str">
            <v>C487</v>
          </cell>
          <cell r="N897">
            <v>6</v>
          </cell>
        </row>
        <row r="898">
          <cell r="B898" t="str">
            <v>C491</v>
          </cell>
          <cell r="N898">
            <v>1</v>
          </cell>
        </row>
        <row r="899">
          <cell r="B899" t="str">
            <v>C501</v>
          </cell>
          <cell r="N899">
            <v>7</v>
          </cell>
        </row>
        <row r="900">
          <cell r="B900" t="str">
            <v>C503</v>
          </cell>
          <cell r="N900">
            <v>59</v>
          </cell>
        </row>
        <row r="901">
          <cell r="B901" t="str">
            <v>C504</v>
          </cell>
          <cell r="N901">
            <v>59</v>
          </cell>
        </row>
        <row r="902">
          <cell r="B902" t="str">
            <v>C525</v>
          </cell>
          <cell r="N902">
            <v>12</v>
          </cell>
        </row>
        <row r="903">
          <cell r="B903" t="str">
            <v>C530</v>
          </cell>
          <cell r="N903">
            <v>1</v>
          </cell>
        </row>
        <row r="904">
          <cell r="B904" t="str">
            <v>C543</v>
          </cell>
          <cell r="N904">
            <v>8</v>
          </cell>
        </row>
        <row r="905">
          <cell r="B905" t="str">
            <v>C567</v>
          </cell>
          <cell r="N905">
            <v>2</v>
          </cell>
        </row>
        <row r="906">
          <cell r="B906" t="str">
            <v>C568</v>
          </cell>
          <cell r="N906">
            <v>4</v>
          </cell>
        </row>
        <row r="907">
          <cell r="B907" t="str">
            <v>C588</v>
          </cell>
          <cell r="N907">
            <v>1</v>
          </cell>
        </row>
        <row r="908">
          <cell r="B908" t="str">
            <v>C626</v>
          </cell>
          <cell r="N908">
            <v>2</v>
          </cell>
        </row>
        <row r="909">
          <cell r="B909" t="str">
            <v>C700</v>
          </cell>
          <cell r="N909">
            <v>3</v>
          </cell>
        </row>
        <row r="910">
          <cell r="B910" t="str">
            <v>C708</v>
          </cell>
          <cell r="N910">
            <v>5</v>
          </cell>
        </row>
        <row r="911">
          <cell r="B911" t="str">
            <v>C715</v>
          </cell>
          <cell r="N911">
            <v>1</v>
          </cell>
        </row>
        <row r="912">
          <cell r="B912" t="str">
            <v>C740</v>
          </cell>
          <cell r="N912">
            <v>2</v>
          </cell>
        </row>
        <row r="913">
          <cell r="B913" t="str">
            <v>C747</v>
          </cell>
          <cell r="N913">
            <v>1</v>
          </cell>
        </row>
        <row r="914">
          <cell r="B914" t="str">
            <v>C759</v>
          </cell>
          <cell r="N914">
            <v>3</v>
          </cell>
        </row>
        <row r="915">
          <cell r="B915" t="str">
            <v>C762</v>
          </cell>
          <cell r="N915">
            <v>3</v>
          </cell>
        </row>
        <row r="916">
          <cell r="B916" t="str">
            <v>C876</v>
          </cell>
          <cell r="N916">
            <v>15</v>
          </cell>
        </row>
        <row r="917">
          <cell r="B917" t="str">
            <v>C881</v>
          </cell>
          <cell r="N917">
            <v>8</v>
          </cell>
        </row>
        <row r="918">
          <cell r="B918" t="str">
            <v>C887</v>
          </cell>
          <cell r="N918">
            <v>2</v>
          </cell>
        </row>
        <row r="919">
          <cell r="B919" t="str">
            <v>C927</v>
          </cell>
          <cell r="N919">
            <v>8</v>
          </cell>
        </row>
        <row r="920">
          <cell r="N920">
            <v>1</v>
          </cell>
        </row>
        <row r="921">
          <cell r="N921">
            <v>1</v>
          </cell>
        </row>
        <row r="922">
          <cell r="B922" t="str">
            <v>D009</v>
          </cell>
          <cell r="N922">
            <v>3</v>
          </cell>
        </row>
        <row r="923">
          <cell r="B923" t="str">
            <v>D035</v>
          </cell>
          <cell r="N923">
            <v>54</v>
          </cell>
        </row>
        <row r="924">
          <cell r="B924" t="str">
            <v>D043</v>
          </cell>
          <cell r="N924">
            <v>4</v>
          </cell>
        </row>
        <row r="925">
          <cell r="B925" t="str">
            <v>D063</v>
          </cell>
          <cell r="N925">
            <v>46</v>
          </cell>
        </row>
        <row r="926">
          <cell r="B926" t="str">
            <v>D064</v>
          </cell>
          <cell r="N926">
            <v>13</v>
          </cell>
        </row>
        <row r="927">
          <cell r="B927" t="str">
            <v>D068</v>
          </cell>
          <cell r="N927">
            <v>1</v>
          </cell>
        </row>
        <row r="928">
          <cell r="B928" t="str">
            <v>D072</v>
          </cell>
          <cell r="N928">
            <v>8</v>
          </cell>
        </row>
        <row r="929">
          <cell r="B929" t="str">
            <v>D502</v>
          </cell>
          <cell r="N929">
            <v>2</v>
          </cell>
        </row>
        <row r="930">
          <cell r="B930" t="str">
            <v>D503</v>
          </cell>
          <cell r="N930">
            <v>2</v>
          </cell>
        </row>
        <row r="931">
          <cell r="B931" t="str">
            <v>D605</v>
          </cell>
          <cell r="N931">
            <v>40</v>
          </cell>
        </row>
        <row r="932">
          <cell r="B932" t="str">
            <v>D622</v>
          </cell>
          <cell r="N932">
            <v>2</v>
          </cell>
        </row>
        <row r="933">
          <cell r="B933" t="str">
            <v>D632</v>
          </cell>
          <cell r="N933">
            <v>11</v>
          </cell>
        </row>
        <row r="934">
          <cell r="B934" t="str">
            <v>D696</v>
          </cell>
          <cell r="N934">
            <v>2</v>
          </cell>
        </row>
        <row r="935">
          <cell r="B935" t="str">
            <v>D697</v>
          </cell>
          <cell r="N935">
            <v>64</v>
          </cell>
        </row>
        <row r="936">
          <cell r="B936" t="str">
            <v>D703</v>
          </cell>
          <cell r="N936">
            <v>1</v>
          </cell>
        </row>
        <row r="937">
          <cell r="B937" t="str">
            <v>D711</v>
          </cell>
          <cell r="N937">
            <v>1</v>
          </cell>
        </row>
        <row r="938">
          <cell r="B938" t="str">
            <v>D718</v>
          </cell>
          <cell r="N938">
            <v>1</v>
          </cell>
        </row>
        <row r="939">
          <cell r="B939" t="str">
            <v>D729</v>
          </cell>
          <cell r="N939">
            <v>1</v>
          </cell>
        </row>
        <row r="940">
          <cell r="B940" t="str">
            <v>D758</v>
          </cell>
          <cell r="N940">
            <v>1</v>
          </cell>
        </row>
        <row r="941">
          <cell r="B941" t="str">
            <v>D824</v>
          </cell>
          <cell r="N941">
            <v>1</v>
          </cell>
        </row>
        <row r="942">
          <cell r="B942" t="str">
            <v>D943</v>
          </cell>
          <cell r="N942">
            <v>8</v>
          </cell>
        </row>
        <row r="943">
          <cell r="B943" t="str">
            <v>D966</v>
          </cell>
          <cell r="N943">
            <v>3</v>
          </cell>
        </row>
        <row r="944">
          <cell r="B944" t="str">
            <v>E092</v>
          </cell>
          <cell r="N944">
            <v>2</v>
          </cell>
        </row>
        <row r="945">
          <cell r="B945" t="str">
            <v>E211</v>
          </cell>
          <cell r="N945">
            <v>2</v>
          </cell>
        </row>
        <row r="946">
          <cell r="B946" t="str">
            <v>E264</v>
          </cell>
          <cell r="N946">
            <v>2</v>
          </cell>
        </row>
        <row r="947">
          <cell r="N947">
            <v>35</v>
          </cell>
        </row>
        <row r="948">
          <cell r="N948">
            <v>52</v>
          </cell>
        </row>
        <row r="949">
          <cell r="N949">
            <v>21</v>
          </cell>
        </row>
        <row r="950">
          <cell r="N950">
            <v>2</v>
          </cell>
        </row>
        <row r="951">
          <cell r="N951">
            <v>1</v>
          </cell>
        </row>
        <row r="952">
          <cell r="N952">
            <v>150</v>
          </cell>
        </row>
        <row r="953">
          <cell r="N953">
            <v>199</v>
          </cell>
        </row>
        <row r="954">
          <cell r="N954">
            <v>84</v>
          </cell>
        </row>
        <row r="955">
          <cell r="N955">
            <v>245</v>
          </cell>
        </row>
        <row r="956">
          <cell r="N956">
            <v>9</v>
          </cell>
        </row>
        <row r="957">
          <cell r="N957">
            <v>2</v>
          </cell>
        </row>
        <row r="958">
          <cell r="B958" t="str">
            <v>TPE-ACCENT24</v>
          </cell>
          <cell r="N958">
            <v>29</v>
          </cell>
        </row>
        <row r="959">
          <cell r="B959" t="str">
            <v>TPE-ATTRAGESedan</v>
          </cell>
          <cell r="N959">
            <v>4</v>
          </cell>
        </row>
        <row r="960">
          <cell r="B960" t="str">
            <v>TPE-BT50-21</v>
          </cell>
          <cell r="N960">
            <v>5</v>
          </cell>
        </row>
        <row r="961">
          <cell r="B961" t="str">
            <v>TPE-CARENS24</v>
          </cell>
          <cell r="N961">
            <v>29</v>
          </cell>
        </row>
        <row r="962">
          <cell r="B962" t="str">
            <v>TPE-CITY21</v>
          </cell>
          <cell r="N962">
            <v>28</v>
          </cell>
        </row>
        <row r="963">
          <cell r="B963" t="str">
            <v>TPE-COROLLACROSS-HYBRID</v>
          </cell>
          <cell r="N963">
            <v>10</v>
          </cell>
        </row>
        <row r="964">
          <cell r="B964" t="str">
            <v>TPE-COROLLACROSS-OIL</v>
          </cell>
          <cell r="N964">
            <v>8</v>
          </cell>
        </row>
        <row r="965">
          <cell r="B965" t="str">
            <v>TPE-CRETA22</v>
          </cell>
          <cell r="N965">
            <v>26</v>
          </cell>
        </row>
        <row r="966">
          <cell r="B966" t="str">
            <v>TPE-CRV24</v>
          </cell>
          <cell r="N966">
            <v>26</v>
          </cell>
        </row>
        <row r="967">
          <cell r="B967" t="str">
            <v>TPE-CUSTIN</v>
          </cell>
          <cell r="N967">
            <v>29</v>
          </cell>
        </row>
        <row r="968">
          <cell r="B968" t="str">
            <v>TPE-CX3</v>
          </cell>
          <cell r="N968">
            <v>5</v>
          </cell>
        </row>
        <row r="969">
          <cell r="B969" t="str">
            <v>TPE-CX30</v>
          </cell>
          <cell r="N969">
            <v>29</v>
          </cell>
        </row>
        <row r="970">
          <cell r="B970" t="str">
            <v>TPE-CX5-23</v>
          </cell>
          <cell r="N970">
            <v>40</v>
          </cell>
        </row>
        <row r="971">
          <cell r="B971" t="str">
            <v>TPE-CX8</v>
          </cell>
          <cell r="N971">
            <v>4</v>
          </cell>
        </row>
        <row r="972">
          <cell r="B972" t="str">
            <v>TPE-DMAX21</v>
          </cell>
          <cell r="N972">
            <v>5</v>
          </cell>
        </row>
        <row r="973">
          <cell r="B973" t="str">
            <v>TPE-EVEREST16</v>
          </cell>
          <cell r="N973">
            <v>3</v>
          </cell>
        </row>
        <row r="974">
          <cell r="B974" t="str">
            <v>TPE-EVEREST23</v>
          </cell>
          <cell r="N974">
            <v>14</v>
          </cell>
        </row>
        <row r="975">
          <cell r="B975" t="str">
            <v>TPE-Fadil</v>
          </cell>
          <cell r="N975">
            <v>8</v>
          </cell>
        </row>
        <row r="976">
          <cell r="B976" t="str">
            <v>TPE-Fortuner16</v>
          </cell>
          <cell r="N976">
            <v>26</v>
          </cell>
        </row>
        <row r="977">
          <cell r="B977" t="str">
            <v>TPE-HILUX16</v>
          </cell>
          <cell r="N977">
            <v>5</v>
          </cell>
        </row>
        <row r="978">
          <cell r="B978" t="str">
            <v>TPE-HRV22</v>
          </cell>
          <cell r="N978">
            <v>28</v>
          </cell>
        </row>
        <row r="979">
          <cell r="B979" t="str">
            <v>TPE-INNOVA16</v>
          </cell>
          <cell r="N979">
            <v>5</v>
          </cell>
        </row>
        <row r="980">
          <cell r="B980" t="str">
            <v>TPE-INNOVACROSS-HYBRID</v>
          </cell>
          <cell r="N980">
            <v>11</v>
          </cell>
        </row>
        <row r="981">
          <cell r="B981" t="str">
            <v>TPE-INNOVACROSS-OIL</v>
          </cell>
          <cell r="N981">
            <v>15</v>
          </cell>
        </row>
        <row r="982">
          <cell r="B982" t="str">
            <v>TPE-LIMOGREEN</v>
          </cell>
          <cell r="N982">
            <v>31</v>
          </cell>
        </row>
        <row r="983">
          <cell r="B983" t="str">
            <v>TPE-MAZDA2-20</v>
          </cell>
          <cell r="N983">
            <v>5</v>
          </cell>
        </row>
        <row r="984">
          <cell r="B984" t="str">
            <v>TPE-MAZDA3SEDAN20</v>
          </cell>
          <cell r="N984">
            <v>30</v>
          </cell>
        </row>
        <row r="985">
          <cell r="B985" t="str">
            <v>TPE-MG5AT</v>
          </cell>
          <cell r="N985">
            <v>30</v>
          </cell>
        </row>
        <row r="986">
          <cell r="B986" t="str">
            <v>TPE-MUX21</v>
          </cell>
          <cell r="N986">
            <v>5</v>
          </cell>
        </row>
        <row r="987">
          <cell r="B987" t="str">
            <v>TPE-PAJEROSPORT4X2</v>
          </cell>
          <cell r="N987">
            <v>5</v>
          </cell>
        </row>
        <row r="988">
          <cell r="B988" t="str">
            <v>TPE-PEUGEOT2008</v>
          </cell>
          <cell r="N988">
            <v>5</v>
          </cell>
        </row>
        <row r="989">
          <cell r="B989" t="str">
            <v>TPE-RAIZE</v>
          </cell>
          <cell r="N989">
            <v>5</v>
          </cell>
        </row>
        <row r="990">
          <cell r="B990" t="str">
            <v>TPE-RANGER16</v>
          </cell>
          <cell r="N990">
            <v>3</v>
          </cell>
        </row>
        <row r="991">
          <cell r="B991" t="str">
            <v>TPE-RANGER23</v>
          </cell>
          <cell r="N991">
            <v>19</v>
          </cell>
        </row>
        <row r="992">
          <cell r="B992" t="str">
            <v>TPE-STARGAZER</v>
          </cell>
          <cell r="N992">
            <v>28</v>
          </cell>
        </row>
        <row r="993">
          <cell r="B993" t="str">
            <v>TPE-Seltos</v>
          </cell>
          <cell r="N993">
            <v>29</v>
          </cell>
        </row>
        <row r="994">
          <cell r="B994" t="str">
            <v>TPE-Sonet</v>
          </cell>
          <cell r="N994">
            <v>28</v>
          </cell>
        </row>
        <row r="995">
          <cell r="B995" t="str">
            <v>TPE-Sportage22</v>
          </cell>
          <cell r="N995">
            <v>30</v>
          </cell>
        </row>
        <row r="996">
          <cell r="B996" t="str">
            <v>TPE-TUCSON22</v>
          </cell>
          <cell r="N996">
            <v>20</v>
          </cell>
        </row>
        <row r="997">
          <cell r="B997" t="str">
            <v>TPE-Territory</v>
          </cell>
          <cell r="N997">
            <v>16</v>
          </cell>
        </row>
        <row r="998">
          <cell r="B998" t="str">
            <v>TPE-VELOZCROSS</v>
          </cell>
          <cell r="N998">
            <v>5</v>
          </cell>
        </row>
        <row r="999">
          <cell r="B999" t="str">
            <v>TPE-VENUE</v>
          </cell>
          <cell r="N999">
            <v>30</v>
          </cell>
        </row>
        <row r="1000">
          <cell r="B1000" t="str">
            <v>TPE-VF3</v>
          </cell>
          <cell r="N1000">
            <v>19</v>
          </cell>
        </row>
        <row r="1001">
          <cell r="B1001" t="str">
            <v>TPE-VF5</v>
          </cell>
          <cell r="N1001">
            <v>32</v>
          </cell>
        </row>
        <row r="1002">
          <cell r="B1002" t="str">
            <v>TPE-VF6</v>
          </cell>
          <cell r="N1002">
            <v>33</v>
          </cell>
        </row>
        <row r="1003">
          <cell r="B1003" t="str">
            <v>TPE-VF7</v>
          </cell>
          <cell r="N1003">
            <v>16</v>
          </cell>
        </row>
        <row r="1004">
          <cell r="B1004" t="str">
            <v>TPE-VF8</v>
          </cell>
          <cell r="N1004">
            <v>16</v>
          </cell>
        </row>
        <row r="1005">
          <cell r="B1005" t="str">
            <v>TPE-VIOS19</v>
          </cell>
          <cell r="N1005">
            <v>21</v>
          </cell>
        </row>
        <row r="1006">
          <cell r="B1006" t="str">
            <v>TPE-VITARA15</v>
          </cell>
          <cell r="N1006">
            <v>5</v>
          </cell>
        </row>
        <row r="1007">
          <cell r="B1007" t="str">
            <v>TPE-X-FORCE</v>
          </cell>
          <cell r="N1007">
            <v>22</v>
          </cell>
        </row>
        <row r="1008">
          <cell r="B1008" t="str">
            <v>TPE-XPANDER</v>
          </cell>
          <cell r="N1008">
            <v>24</v>
          </cell>
        </row>
        <row r="1009">
          <cell r="B1009" t="str">
            <v>TPE-YarisCross</v>
          </cell>
          <cell r="N1009">
            <v>23</v>
          </cell>
        </row>
        <row r="1010">
          <cell r="B1010" t="str">
            <v>ULTRAVISION</v>
          </cell>
          <cell r="N1010">
            <v>250</v>
          </cell>
        </row>
        <row r="1011">
          <cell r="B1011" t="str">
            <v>ULTRAVISION</v>
          </cell>
          <cell r="N1011">
            <v>865</v>
          </cell>
        </row>
        <row r="1012">
          <cell r="B1012" t="str">
            <v>ULTRAVISION</v>
          </cell>
          <cell r="N1012">
            <v>331</v>
          </cell>
        </row>
        <row r="1013">
          <cell r="B1013" t="str">
            <v>ULTRAVISION</v>
          </cell>
          <cell r="N1013">
            <v>119</v>
          </cell>
        </row>
        <row r="1014">
          <cell r="B1014" t="str">
            <v>ULTRAVISION</v>
          </cell>
          <cell r="N1014">
            <v>475</v>
          </cell>
        </row>
        <row r="1015">
          <cell r="B1015" t="str">
            <v>ULTRAVISION</v>
          </cell>
          <cell r="N1015">
            <v>638</v>
          </cell>
        </row>
        <row r="1016">
          <cell r="B1016" t="str">
            <v>ULTRAVISION</v>
          </cell>
          <cell r="N1016">
            <v>356</v>
          </cell>
        </row>
        <row r="1017">
          <cell r="B1017" t="str">
            <v>ULTRAVISION</v>
          </cell>
          <cell r="N1017">
            <v>137</v>
          </cell>
        </row>
        <row r="1018">
          <cell r="N1018">
            <v>8</v>
          </cell>
        </row>
        <row r="1019">
          <cell r="B1019" t="str">
            <v>VF35ULTRA360</v>
          </cell>
          <cell r="N1019">
            <v>164</v>
          </cell>
        </row>
        <row r="1020">
          <cell r="N1020">
            <v>1</v>
          </cell>
        </row>
        <row r="1021">
          <cell r="N1021">
            <v>1</v>
          </cell>
        </row>
        <row r="1022">
          <cell r="N1022">
            <v>34</v>
          </cell>
        </row>
        <row r="1023">
          <cell r="N1023">
            <v>446</v>
          </cell>
        </row>
        <row r="1024">
          <cell r="N1024">
            <v>113</v>
          </cell>
        </row>
        <row r="1025">
          <cell r="N1025">
            <v>12</v>
          </cell>
        </row>
        <row r="1026">
          <cell r="N1026">
            <v>2</v>
          </cell>
        </row>
        <row r="1027">
          <cell r="N1027">
            <v>90</v>
          </cell>
        </row>
        <row r="1028">
          <cell r="N1028">
            <v>1</v>
          </cell>
        </row>
        <row r="1029">
          <cell r="N1029">
            <v>81</v>
          </cell>
        </row>
        <row r="1030">
          <cell r="N1030">
            <v>2</v>
          </cell>
        </row>
        <row r="1031">
          <cell r="N1031">
            <v>6</v>
          </cell>
        </row>
        <row r="1032">
          <cell r="N1032">
            <v>216</v>
          </cell>
        </row>
        <row r="1033">
          <cell r="N1033">
            <v>40</v>
          </cell>
        </row>
        <row r="1034">
          <cell r="N1034">
            <v>246</v>
          </cell>
        </row>
        <row r="1035">
          <cell r="N1035">
            <v>117</v>
          </cell>
        </row>
        <row r="1036">
          <cell r="B1036" t="str">
            <v>Z80H4MINI</v>
          </cell>
          <cell r="N1036">
            <v>588</v>
          </cell>
        </row>
        <row r="1037">
          <cell r="N1037">
            <v>203590.5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233"/>
  <sheetViews>
    <sheetView showZeros="0" tabSelected="1" topLeftCell="A200" workbookViewId="0">
      <selection activeCell="N237" sqref="N237"/>
    </sheetView>
  </sheetViews>
  <sheetFormatPr defaultRowHeight="13.8" x14ac:dyDescent="0.25"/>
  <cols>
    <col min="1" max="1" width="18.6640625" style="3" customWidth="1"/>
    <col min="2" max="2" width="12.44140625" style="3" customWidth="1"/>
    <col min="3" max="3" width="31.109375" style="3" customWidth="1"/>
    <col min="4" max="5" width="19.33203125" style="3" customWidth="1"/>
    <col min="6" max="6" width="19.109375" style="3" customWidth="1"/>
    <col min="7" max="7" width="15" style="4" customWidth="1"/>
    <col min="8" max="8" width="15" style="5" hidden="1" customWidth="1"/>
    <col min="9" max="9" width="15" style="4" hidden="1" customWidth="1"/>
    <col min="10" max="10" width="15" style="5" hidden="1" customWidth="1"/>
    <col min="11" max="11" width="15" style="4" hidden="1" customWidth="1"/>
    <col min="12" max="12" width="15" style="5" hidden="1" customWidth="1"/>
    <col min="13" max="13" width="6.33203125" style="4" bestFit="1" customWidth="1"/>
    <col min="14" max="14" width="15" style="5" customWidth="1"/>
    <col min="15" max="15" width="16.44140625" style="3" bestFit="1" customWidth="1"/>
    <col min="16" max="16" width="13.33203125" bestFit="1" customWidth="1"/>
  </cols>
  <sheetData>
    <row r="1" spans="1:17" s="2" customFormat="1" ht="21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7" s="1" customFormat="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7" s="2" customFormat="1" ht="21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7" ht="26.4" customHeight="1" x14ac:dyDescent="0.25">
      <c r="A4" s="18" t="s">
        <v>2</v>
      </c>
      <c r="B4" s="18" t="s">
        <v>3</v>
      </c>
      <c r="C4" s="18" t="s">
        <v>4</v>
      </c>
      <c r="D4" s="18" t="s">
        <v>5</v>
      </c>
      <c r="E4" s="18" t="s">
        <v>613</v>
      </c>
      <c r="F4" s="18" t="s">
        <v>6</v>
      </c>
      <c r="G4" s="18" t="s">
        <v>7</v>
      </c>
      <c r="H4" s="19"/>
      <c r="I4" s="19"/>
      <c r="J4" s="19"/>
      <c r="K4" s="19"/>
      <c r="L4" s="19"/>
      <c r="M4" s="19"/>
      <c r="N4" s="19"/>
      <c r="O4" s="16"/>
      <c r="P4" s="13"/>
      <c r="Q4" s="6" t="s">
        <v>8</v>
      </c>
    </row>
    <row r="5" spans="1:17" x14ac:dyDescent="0.25">
      <c r="A5" s="21"/>
      <c r="B5" s="21"/>
      <c r="C5" s="21"/>
      <c r="D5" s="21"/>
      <c r="E5" s="21"/>
      <c r="F5" s="21"/>
      <c r="G5" s="14"/>
      <c r="H5" s="6" t="s">
        <v>9</v>
      </c>
      <c r="I5" s="6" t="s">
        <v>10</v>
      </c>
      <c r="J5" s="6" t="s">
        <v>9</v>
      </c>
      <c r="K5" s="6" t="s">
        <v>10</v>
      </c>
      <c r="L5" s="6" t="s">
        <v>9</v>
      </c>
      <c r="M5" s="6" t="s">
        <v>10</v>
      </c>
      <c r="N5" s="6" t="s">
        <v>11</v>
      </c>
      <c r="O5" s="17" t="s">
        <v>12</v>
      </c>
      <c r="P5" s="15"/>
      <c r="Q5" s="14"/>
    </row>
    <row r="6" spans="1:17" ht="27.6" hidden="1" customHeight="1" x14ac:dyDescent="0.25">
      <c r="A6" s="10" t="s">
        <v>13</v>
      </c>
      <c r="B6" s="10" t="s">
        <v>14</v>
      </c>
      <c r="C6" s="10" t="s">
        <v>15</v>
      </c>
      <c r="D6" s="3" t="s">
        <v>16</v>
      </c>
      <c r="F6" s="10" t="s">
        <v>17</v>
      </c>
      <c r="G6" s="10" t="s">
        <v>18</v>
      </c>
      <c r="H6" s="11">
        <v>54</v>
      </c>
      <c r="I6" s="12">
        <v>27235855</v>
      </c>
      <c r="J6" s="11">
        <v>0</v>
      </c>
      <c r="K6" s="12">
        <v>0</v>
      </c>
      <c r="L6" s="11">
        <v>0</v>
      </c>
      <c r="M6" s="12">
        <v>0</v>
      </c>
      <c r="N6" s="11">
        <v>54</v>
      </c>
      <c r="O6">
        <f>IF(D6="","",SUMIF([1]Sheet1!$B$9:$B$1040,D6,[1]Sheet1!$N$9:$N$1040))</f>
        <v>102</v>
      </c>
      <c r="P6" s="12">
        <v>27235855</v>
      </c>
      <c r="Q6" s="10"/>
    </row>
    <row r="7" spans="1:17" ht="27.6" hidden="1" customHeight="1" x14ac:dyDescent="0.25">
      <c r="A7" s="10" t="s">
        <v>13</v>
      </c>
      <c r="B7" s="10" t="s">
        <v>14</v>
      </c>
      <c r="C7" s="10" t="s">
        <v>19</v>
      </c>
      <c r="D7" s="3" t="s">
        <v>20</v>
      </c>
      <c r="F7" s="10" t="s">
        <v>21</v>
      </c>
      <c r="G7" s="10" t="s">
        <v>18</v>
      </c>
      <c r="H7" s="11">
        <v>17</v>
      </c>
      <c r="I7" s="12">
        <v>9605000</v>
      </c>
      <c r="J7" s="11">
        <v>0</v>
      </c>
      <c r="K7" s="12">
        <v>0</v>
      </c>
      <c r="L7" s="11">
        <v>0</v>
      </c>
      <c r="M7" s="12">
        <v>0</v>
      </c>
      <c r="N7" s="11">
        <v>17</v>
      </c>
      <c r="O7">
        <f>IF(D7="","",SUMIF([1]Sheet1!$B$9:$B$1040,D7,[1]Sheet1!$N$9:$N$1040))</f>
        <v>2</v>
      </c>
      <c r="P7" s="12">
        <v>9605000</v>
      </c>
      <c r="Q7" s="10"/>
    </row>
    <row r="8" spans="1:17" ht="41.4" hidden="1" x14ac:dyDescent="0.25">
      <c r="A8" s="10" t="s">
        <v>13</v>
      </c>
      <c r="B8" s="10" t="s">
        <v>14</v>
      </c>
      <c r="C8" s="10" t="s">
        <v>22</v>
      </c>
      <c r="D8" s="3" t="s">
        <v>23</v>
      </c>
      <c r="F8" s="10" t="s">
        <v>24</v>
      </c>
      <c r="G8" s="10" t="s">
        <v>25</v>
      </c>
      <c r="H8" s="11">
        <v>292</v>
      </c>
      <c r="I8" s="12">
        <v>2190000</v>
      </c>
      <c r="J8" s="11">
        <v>0</v>
      </c>
      <c r="K8" s="12">
        <v>0</v>
      </c>
      <c r="L8" s="11">
        <v>0</v>
      </c>
      <c r="M8" s="12">
        <v>0</v>
      </c>
      <c r="N8" s="11">
        <v>292</v>
      </c>
      <c r="O8">
        <f>IF(D8="","",SUMIF([1]Sheet1!$B$9:$B$1040,D8,[1]Sheet1!$N$9:$N$1040))</f>
        <v>979</v>
      </c>
      <c r="P8" s="12">
        <v>2190000</v>
      </c>
      <c r="Q8" s="10"/>
    </row>
    <row r="9" spans="1:17" ht="41.4" hidden="1" x14ac:dyDescent="0.25">
      <c r="A9" s="10" t="s">
        <v>13</v>
      </c>
      <c r="B9" s="10" t="s">
        <v>14</v>
      </c>
      <c r="C9" s="10" t="s">
        <v>26</v>
      </c>
      <c r="D9" s="3" t="s">
        <v>27</v>
      </c>
      <c r="F9" s="10" t="s">
        <v>28</v>
      </c>
      <c r="G9" s="10" t="s">
        <v>25</v>
      </c>
      <c r="H9" s="11">
        <v>23</v>
      </c>
      <c r="I9" s="12">
        <v>2990000</v>
      </c>
      <c r="J9" s="11">
        <v>0</v>
      </c>
      <c r="K9" s="12">
        <v>0</v>
      </c>
      <c r="L9" s="11">
        <v>0</v>
      </c>
      <c r="M9" s="12">
        <v>0</v>
      </c>
      <c r="N9" s="11">
        <v>23</v>
      </c>
      <c r="O9">
        <f>IF(D9="","",SUMIF([1]Sheet1!$B$9:$B$1040,D9,[1]Sheet1!$N$9:$N$1040))</f>
        <v>35</v>
      </c>
      <c r="P9" s="12">
        <v>2990000</v>
      </c>
      <c r="Q9" s="10"/>
    </row>
    <row r="10" spans="1:17" ht="55.2" hidden="1" x14ac:dyDescent="0.25">
      <c r="A10" s="10" t="s">
        <v>13</v>
      </c>
      <c r="B10" s="10" t="s">
        <v>14</v>
      </c>
      <c r="C10" s="10" t="s">
        <v>29</v>
      </c>
      <c r="D10" s="3" t="s">
        <v>30</v>
      </c>
      <c r="F10" s="10" t="s">
        <v>31</v>
      </c>
      <c r="G10" s="10" t="s">
        <v>32</v>
      </c>
      <c r="H10" s="11">
        <v>326</v>
      </c>
      <c r="I10" s="12">
        <v>406680</v>
      </c>
      <c r="J10" s="11">
        <v>0</v>
      </c>
      <c r="K10" s="12">
        <v>0</v>
      </c>
      <c r="L10" s="11">
        <v>0</v>
      </c>
      <c r="M10" s="12">
        <v>0</v>
      </c>
      <c r="N10" s="11">
        <v>326</v>
      </c>
      <c r="O10">
        <f>IF(D10="","",SUMIF([1]Sheet1!$B$9:$B$1040,D10,[1]Sheet1!$N$9:$N$1040))</f>
        <v>2479</v>
      </c>
      <c r="P10" s="12">
        <v>406680</v>
      </c>
      <c r="Q10" s="10"/>
    </row>
    <row r="11" spans="1:17" ht="55.2" hidden="1" x14ac:dyDescent="0.25">
      <c r="A11" s="10" t="s">
        <v>13</v>
      </c>
      <c r="B11" s="10" t="s">
        <v>14</v>
      </c>
      <c r="C11" s="10" t="s">
        <v>33</v>
      </c>
      <c r="F11" s="10" t="s">
        <v>34</v>
      </c>
      <c r="G11" s="10" t="s">
        <v>35</v>
      </c>
      <c r="H11" s="11">
        <v>4</v>
      </c>
      <c r="I11" s="12">
        <v>10499054</v>
      </c>
      <c r="J11" s="11">
        <v>0</v>
      </c>
      <c r="K11" s="12">
        <v>0</v>
      </c>
      <c r="L11" s="11">
        <v>0</v>
      </c>
      <c r="M11" s="12">
        <v>0</v>
      </c>
      <c r="N11" s="11">
        <v>4</v>
      </c>
      <c r="O11" t="str">
        <f>IF(D11="","",SUMIF([1]Sheet1!$B$9:$B$1040,D11,[1]Sheet1!$N$9:$N$1040))</f>
        <v/>
      </c>
      <c r="P11" s="12">
        <v>10499054</v>
      </c>
      <c r="Q11" s="10"/>
    </row>
    <row r="12" spans="1:17" ht="55.2" hidden="1" x14ac:dyDescent="0.25">
      <c r="A12" s="10" t="s">
        <v>13</v>
      </c>
      <c r="B12" s="10" t="s">
        <v>14</v>
      </c>
      <c r="C12" s="10" t="s">
        <v>36</v>
      </c>
      <c r="F12" s="10" t="s">
        <v>37</v>
      </c>
      <c r="G12" s="10" t="s">
        <v>35</v>
      </c>
      <c r="H12" s="11">
        <v>5</v>
      </c>
      <c r="I12" s="12">
        <v>13123968</v>
      </c>
      <c r="J12" s="11">
        <v>0</v>
      </c>
      <c r="K12" s="12">
        <v>0</v>
      </c>
      <c r="L12" s="11">
        <v>0</v>
      </c>
      <c r="M12" s="12">
        <v>0</v>
      </c>
      <c r="N12" s="11">
        <v>5</v>
      </c>
      <c r="O12" t="str">
        <f>IF(D12="","",SUMIF([1]Sheet1!$B$9:$B$1040,D12,[1]Sheet1!$N$9:$N$1040))</f>
        <v/>
      </c>
      <c r="P12" s="12">
        <v>13123968</v>
      </c>
      <c r="Q12" s="10"/>
    </row>
    <row r="13" spans="1:17" ht="55.2" hidden="1" x14ac:dyDescent="0.25">
      <c r="A13" s="10" t="s">
        <v>13</v>
      </c>
      <c r="B13" s="10" t="s">
        <v>14</v>
      </c>
      <c r="C13" s="10" t="s">
        <v>38</v>
      </c>
      <c r="F13" s="10" t="s">
        <v>39</v>
      </c>
      <c r="G13" s="10" t="s">
        <v>35</v>
      </c>
      <c r="H13" s="11">
        <v>3</v>
      </c>
      <c r="I13" s="12">
        <v>14062819</v>
      </c>
      <c r="J13" s="11">
        <v>0</v>
      </c>
      <c r="K13" s="12">
        <v>0</v>
      </c>
      <c r="L13" s="11">
        <v>0</v>
      </c>
      <c r="M13" s="12">
        <v>0</v>
      </c>
      <c r="N13" s="11">
        <v>3</v>
      </c>
      <c r="O13" t="str">
        <f>IF(D13="","",SUMIF([1]Sheet1!$B$9:$B$1040,D13,[1]Sheet1!$N$9:$N$1040))</f>
        <v/>
      </c>
      <c r="P13" s="12">
        <v>14062819</v>
      </c>
      <c r="Q13" s="10"/>
    </row>
    <row r="14" spans="1:17" ht="55.2" hidden="1" x14ac:dyDescent="0.25">
      <c r="A14" s="10" t="s">
        <v>13</v>
      </c>
      <c r="B14" s="10" t="s">
        <v>14</v>
      </c>
      <c r="C14" s="10" t="s">
        <v>40</v>
      </c>
      <c r="F14" s="10" t="s">
        <v>41</v>
      </c>
      <c r="G14" s="10" t="s">
        <v>35</v>
      </c>
      <c r="H14" s="11">
        <v>8</v>
      </c>
      <c r="I14" s="12">
        <v>37500850</v>
      </c>
      <c r="J14" s="11">
        <v>0</v>
      </c>
      <c r="K14" s="12">
        <v>0</v>
      </c>
      <c r="L14" s="11">
        <v>0</v>
      </c>
      <c r="M14" s="12">
        <v>0</v>
      </c>
      <c r="N14" s="11">
        <v>8</v>
      </c>
      <c r="O14" t="str">
        <f>IF(D14="","",SUMIF([1]Sheet1!$B$9:$B$1040,D14,[1]Sheet1!$N$9:$N$1040))</f>
        <v/>
      </c>
      <c r="P14" s="12">
        <v>37500850</v>
      </c>
      <c r="Q14" s="10"/>
    </row>
    <row r="15" spans="1:17" ht="55.2" hidden="1" x14ac:dyDescent="0.25">
      <c r="A15" s="10" t="s">
        <v>13</v>
      </c>
      <c r="B15" s="10" t="s">
        <v>14</v>
      </c>
      <c r="C15" s="10" t="s">
        <v>42</v>
      </c>
      <c r="F15" s="10" t="s">
        <v>43</v>
      </c>
      <c r="G15" s="10" t="s">
        <v>35</v>
      </c>
      <c r="H15" s="11">
        <v>2</v>
      </c>
      <c r="I15" s="12">
        <v>9375213</v>
      </c>
      <c r="J15" s="11">
        <v>0</v>
      </c>
      <c r="K15" s="12">
        <v>0</v>
      </c>
      <c r="L15" s="11">
        <v>0</v>
      </c>
      <c r="M15" s="12">
        <v>0</v>
      </c>
      <c r="N15" s="11">
        <v>2</v>
      </c>
      <c r="O15" t="str">
        <f>IF(D15="","",SUMIF([1]Sheet1!$B$9:$B$1040,D15,[1]Sheet1!$N$9:$N$1040))</f>
        <v/>
      </c>
      <c r="P15" s="12">
        <v>9375213</v>
      </c>
      <c r="Q15" s="10"/>
    </row>
    <row r="16" spans="1:17" ht="27.6" hidden="1" x14ac:dyDescent="0.25">
      <c r="A16" s="10" t="s">
        <v>13</v>
      </c>
      <c r="B16" s="10" t="s">
        <v>14</v>
      </c>
      <c r="C16" s="10" t="s">
        <v>44</v>
      </c>
      <c r="F16" s="10" t="s">
        <v>45</v>
      </c>
      <c r="G16" s="10" t="s">
        <v>18</v>
      </c>
      <c r="H16" s="11">
        <v>6</v>
      </c>
      <c r="I16" s="12">
        <v>1500000</v>
      </c>
      <c r="J16" s="11">
        <v>0</v>
      </c>
      <c r="K16" s="12">
        <v>0</v>
      </c>
      <c r="L16" s="11">
        <v>0</v>
      </c>
      <c r="M16" s="12">
        <v>0</v>
      </c>
      <c r="N16" s="11">
        <v>6</v>
      </c>
      <c r="O16" t="str">
        <f>IF(D16="","",SUMIF([1]Sheet1!$B$9:$B$1040,D16,[1]Sheet1!$N$9:$N$1040))</f>
        <v/>
      </c>
      <c r="P16" s="12">
        <v>1500000</v>
      </c>
      <c r="Q16" s="10"/>
    </row>
    <row r="17" spans="1:17" ht="55.2" hidden="1" x14ac:dyDescent="0.25">
      <c r="A17" s="10" t="s">
        <v>13</v>
      </c>
      <c r="B17" s="10" t="s">
        <v>14</v>
      </c>
      <c r="C17" s="10" t="s">
        <v>46</v>
      </c>
      <c r="F17" s="10" t="s">
        <v>47</v>
      </c>
      <c r="G17" s="10" t="s">
        <v>35</v>
      </c>
      <c r="H17" s="11">
        <v>7</v>
      </c>
      <c r="I17" s="12">
        <v>23186210</v>
      </c>
      <c r="J17" s="11">
        <v>0</v>
      </c>
      <c r="K17" s="12">
        <v>0</v>
      </c>
      <c r="L17" s="11">
        <v>0</v>
      </c>
      <c r="M17" s="12">
        <v>0</v>
      </c>
      <c r="N17" s="11">
        <v>7</v>
      </c>
      <c r="O17" t="str">
        <f>IF(D17="","",SUMIF([1]Sheet1!$B$9:$B$1040,D17,[1]Sheet1!$N$9:$N$1040))</f>
        <v/>
      </c>
      <c r="P17" s="12">
        <v>23186210</v>
      </c>
      <c r="Q17" s="10"/>
    </row>
    <row r="18" spans="1:17" ht="55.2" hidden="1" x14ac:dyDescent="0.25">
      <c r="A18" s="10" t="s">
        <v>13</v>
      </c>
      <c r="B18" s="10" t="s">
        <v>14</v>
      </c>
      <c r="C18" s="10" t="s">
        <v>48</v>
      </c>
      <c r="F18" s="10" t="s">
        <v>49</v>
      </c>
      <c r="G18" s="10" t="s">
        <v>35</v>
      </c>
      <c r="H18" s="11">
        <v>4</v>
      </c>
      <c r="I18" s="12">
        <v>13249263</v>
      </c>
      <c r="J18" s="11">
        <v>0</v>
      </c>
      <c r="K18" s="12">
        <v>0</v>
      </c>
      <c r="L18" s="11">
        <v>0</v>
      </c>
      <c r="M18" s="12">
        <v>0</v>
      </c>
      <c r="N18" s="11">
        <v>4</v>
      </c>
      <c r="O18" t="str">
        <f>IF(D18="","",SUMIF([1]Sheet1!$B$9:$B$1040,D18,[1]Sheet1!$N$9:$N$1040))</f>
        <v/>
      </c>
      <c r="P18" s="12">
        <v>13249263</v>
      </c>
      <c r="Q18" s="10"/>
    </row>
    <row r="19" spans="1:17" ht="55.2" hidden="1" x14ac:dyDescent="0.25">
      <c r="A19" s="10" t="s">
        <v>13</v>
      </c>
      <c r="B19" s="10" t="s">
        <v>14</v>
      </c>
      <c r="C19" s="10" t="s">
        <v>50</v>
      </c>
      <c r="F19" s="10" t="s">
        <v>51</v>
      </c>
      <c r="G19" s="10" t="s">
        <v>35</v>
      </c>
      <c r="H19" s="11">
        <v>6</v>
      </c>
      <c r="I19" s="12">
        <v>19873895</v>
      </c>
      <c r="J19" s="11">
        <v>0</v>
      </c>
      <c r="K19" s="12">
        <v>0</v>
      </c>
      <c r="L19" s="11">
        <v>0</v>
      </c>
      <c r="M19" s="12">
        <v>0</v>
      </c>
      <c r="N19" s="11">
        <v>6</v>
      </c>
      <c r="O19" t="str">
        <f>IF(D19="","",SUMIF([1]Sheet1!$B$9:$B$1040,D19,[1]Sheet1!$N$9:$N$1040))</f>
        <v/>
      </c>
      <c r="P19" s="12">
        <v>19873895</v>
      </c>
      <c r="Q19" s="10"/>
    </row>
    <row r="20" spans="1:17" ht="55.2" hidden="1" x14ac:dyDescent="0.25">
      <c r="A20" s="10" t="s">
        <v>13</v>
      </c>
      <c r="B20" s="10" t="s">
        <v>14</v>
      </c>
      <c r="C20" s="10" t="s">
        <v>52</v>
      </c>
      <c r="F20" s="10" t="s">
        <v>53</v>
      </c>
      <c r="G20" s="10" t="s">
        <v>35</v>
      </c>
      <c r="H20" s="11">
        <v>5</v>
      </c>
      <c r="I20" s="12">
        <v>15702484</v>
      </c>
      <c r="J20" s="11">
        <v>0</v>
      </c>
      <c r="K20" s="12">
        <v>0</v>
      </c>
      <c r="L20" s="11">
        <v>0</v>
      </c>
      <c r="M20" s="12">
        <v>0</v>
      </c>
      <c r="N20" s="11">
        <v>5</v>
      </c>
      <c r="O20" t="str">
        <f>IF(D20="","",SUMIF([1]Sheet1!$B$9:$B$1040,D20,[1]Sheet1!$N$9:$N$1040))</f>
        <v/>
      </c>
      <c r="P20" s="12">
        <v>15702484</v>
      </c>
      <c r="Q20" s="10"/>
    </row>
    <row r="21" spans="1:17" ht="55.2" hidden="1" x14ac:dyDescent="0.25">
      <c r="A21" s="10" t="s">
        <v>13</v>
      </c>
      <c r="B21" s="10" t="s">
        <v>14</v>
      </c>
      <c r="C21" s="10" t="s">
        <v>54</v>
      </c>
      <c r="F21" s="10" t="s">
        <v>55</v>
      </c>
      <c r="G21" s="10" t="s">
        <v>35</v>
      </c>
      <c r="H21" s="11">
        <v>10</v>
      </c>
      <c r="I21" s="12">
        <v>31404968</v>
      </c>
      <c r="J21" s="11">
        <v>0</v>
      </c>
      <c r="K21" s="12">
        <v>0</v>
      </c>
      <c r="L21" s="11">
        <v>0</v>
      </c>
      <c r="M21" s="12">
        <v>0</v>
      </c>
      <c r="N21" s="11">
        <v>10</v>
      </c>
      <c r="O21" t="str">
        <f>IF(D21="","",SUMIF([1]Sheet1!$B$9:$B$1040,D21,[1]Sheet1!$N$9:$N$1040))</f>
        <v/>
      </c>
      <c r="P21" s="12">
        <v>31404968</v>
      </c>
      <c r="Q21" s="10"/>
    </row>
    <row r="22" spans="1:17" ht="55.2" hidden="1" x14ac:dyDescent="0.25">
      <c r="A22" s="10" t="s">
        <v>13</v>
      </c>
      <c r="B22" s="10" t="s">
        <v>14</v>
      </c>
      <c r="C22" s="10" t="s">
        <v>56</v>
      </c>
      <c r="F22" s="10" t="s">
        <v>57</v>
      </c>
      <c r="G22" s="10" t="s">
        <v>35</v>
      </c>
      <c r="H22" s="11">
        <v>9</v>
      </c>
      <c r="I22" s="12">
        <v>28264471</v>
      </c>
      <c r="J22" s="11">
        <v>0</v>
      </c>
      <c r="K22" s="12">
        <v>0</v>
      </c>
      <c r="L22" s="11">
        <v>0</v>
      </c>
      <c r="M22" s="12">
        <v>0</v>
      </c>
      <c r="N22" s="11">
        <v>9</v>
      </c>
      <c r="O22" t="str">
        <f>IF(D22="","",SUMIF([1]Sheet1!$B$9:$B$1040,D22,[1]Sheet1!$N$9:$N$1040))</f>
        <v/>
      </c>
      <c r="P22" s="12">
        <v>28264471</v>
      </c>
      <c r="Q22" s="10"/>
    </row>
    <row r="23" spans="1:17" ht="41.4" hidden="1" x14ac:dyDescent="0.25">
      <c r="A23" s="10" t="s">
        <v>13</v>
      </c>
      <c r="B23" s="10" t="s">
        <v>14</v>
      </c>
      <c r="C23" s="10" t="s">
        <v>58</v>
      </c>
      <c r="D23" s="3" t="s">
        <v>59</v>
      </c>
      <c r="F23" s="10" t="s">
        <v>60</v>
      </c>
      <c r="G23" s="10" t="s">
        <v>32</v>
      </c>
      <c r="H23" s="11">
        <v>153</v>
      </c>
      <c r="I23" s="12">
        <v>2572185</v>
      </c>
      <c r="J23" s="11">
        <v>0</v>
      </c>
      <c r="K23" s="12">
        <v>0</v>
      </c>
      <c r="L23" s="11">
        <v>0</v>
      </c>
      <c r="M23" s="12">
        <v>0</v>
      </c>
      <c r="N23" s="11">
        <v>153</v>
      </c>
      <c r="O23">
        <f>IF(D23="","",SUMIF([1]Sheet1!$B$9:$B$1040,D23,[1]Sheet1!$N$9:$N$1040))</f>
        <v>115</v>
      </c>
      <c r="P23" s="12">
        <v>2572185</v>
      </c>
      <c r="Q23" s="10"/>
    </row>
    <row r="24" spans="1:17" ht="27.6" hidden="1" x14ac:dyDescent="0.25">
      <c r="A24" s="10" t="s">
        <v>13</v>
      </c>
      <c r="B24" s="10" t="s">
        <v>14</v>
      </c>
      <c r="C24" s="10" t="s">
        <v>61</v>
      </c>
      <c r="D24" s="3" t="s">
        <v>62</v>
      </c>
      <c r="F24" s="10" t="s">
        <v>63</v>
      </c>
      <c r="G24" s="10" t="s">
        <v>18</v>
      </c>
      <c r="H24" s="11">
        <v>758</v>
      </c>
      <c r="I24" s="12">
        <v>26104513</v>
      </c>
      <c r="J24" s="11">
        <v>0</v>
      </c>
      <c r="K24" s="12">
        <v>0</v>
      </c>
      <c r="L24" s="11">
        <v>0</v>
      </c>
      <c r="M24" s="12">
        <v>0</v>
      </c>
      <c r="N24" s="11">
        <v>758</v>
      </c>
      <c r="O24">
        <f>IF(D24="","",SUMIF([1]Sheet1!$B$9:$B$1040,D24,[1]Sheet1!$N$9:$N$1040))</f>
        <v>617</v>
      </c>
      <c r="P24" s="12">
        <v>26104513</v>
      </c>
      <c r="Q24" s="10"/>
    </row>
    <row r="25" spans="1:17" hidden="1" x14ac:dyDescent="0.25">
      <c r="A25" s="10" t="s">
        <v>13</v>
      </c>
      <c r="B25" s="10" t="s">
        <v>14</v>
      </c>
      <c r="C25" s="10" t="s">
        <v>64</v>
      </c>
      <c r="D25" s="3" t="s">
        <v>65</v>
      </c>
      <c r="F25" s="10" t="s">
        <v>66</v>
      </c>
      <c r="G25" s="10" t="s">
        <v>67</v>
      </c>
      <c r="H25" s="11">
        <v>606</v>
      </c>
      <c r="I25" s="12">
        <v>4854258</v>
      </c>
      <c r="J25" s="11">
        <v>0</v>
      </c>
      <c r="K25" s="12">
        <v>0</v>
      </c>
      <c r="L25" s="11">
        <v>0</v>
      </c>
      <c r="M25" s="12">
        <v>0</v>
      </c>
      <c r="N25" s="11">
        <v>606</v>
      </c>
      <c r="O25">
        <f>IF(D25="","",SUMIF([1]Sheet1!$B$9:$B$1040,D25,[1]Sheet1!$N$9:$N$1040))</f>
        <v>0</v>
      </c>
      <c r="P25" s="12">
        <v>4854258</v>
      </c>
      <c r="Q25" s="10"/>
    </row>
    <row r="26" spans="1:17" ht="55.2" hidden="1" x14ac:dyDescent="0.25">
      <c r="A26" s="10" t="s">
        <v>13</v>
      </c>
      <c r="B26" s="10" t="s">
        <v>14</v>
      </c>
      <c r="C26" s="10" t="s">
        <v>68</v>
      </c>
      <c r="D26" s="3" t="s">
        <v>69</v>
      </c>
      <c r="F26" s="10" t="s">
        <v>70</v>
      </c>
      <c r="G26" s="10" t="s">
        <v>32</v>
      </c>
      <c r="H26" s="11">
        <v>38</v>
      </c>
      <c r="I26" s="12">
        <v>2470000</v>
      </c>
      <c r="J26" s="11">
        <v>0</v>
      </c>
      <c r="K26" s="12">
        <v>0</v>
      </c>
      <c r="L26" s="11">
        <v>0</v>
      </c>
      <c r="M26" s="12">
        <v>0</v>
      </c>
      <c r="N26" s="11">
        <v>38</v>
      </c>
      <c r="O26">
        <f>IF(D26="","",SUMIF([1]Sheet1!$B$9:$B$1040,D26,[1]Sheet1!$N$9:$N$1040))</f>
        <v>10</v>
      </c>
      <c r="P26" s="12">
        <v>2470000</v>
      </c>
      <c r="Q26" s="10"/>
    </row>
    <row r="27" spans="1:17" ht="41.4" hidden="1" x14ac:dyDescent="0.25">
      <c r="A27" s="10" t="s">
        <v>13</v>
      </c>
      <c r="B27" s="10" t="s">
        <v>14</v>
      </c>
      <c r="C27" s="10" t="s">
        <v>71</v>
      </c>
      <c r="D27" s="3" t="s">
        <v>72</v>
      </c>
      <c r="F27" s="10" t="s">
        <v>73</v>
      </c>
      <c r="G27" s="10" t="s">
        <v>25</v>
      </c>
      <c r="H27" s="11">
        <v>41</v>
      </c>
      <c r="I27" s="12">
        <v>12248967</v>
      </c>
      <c r="J27" s="11">
        <v>0</v>
      </c>
      <c r="K27" s="12">
        <v>0</v>
      </c>
      <c r="L27" s="11">
        <v>0</v>
      </c>
      <c r="M27" s="12">
        <v>0</v>
      </c>
      <c r="N27" s="11">
        <v>41</v>
      </c>
      <c r="O27">
        <f>IF(D27="","",SUMIF([1]Sheet1!$B$9:$B$1040,D27,[1]Sheet1!$N$9:$N$1040))</f>
        <v>0</v>
      </c>
      <c r="P27" s="12">
        <v>12248967</v>
      </c>
      <c r="Q27" s="10"/>
    </row>
    <row r="28" spans="1:17" ht="41.4" hidden="1" x14ac:dyDescent="0.25">
      <c r="A28" s="10" t="s">
        <v>13</v>
      </c>
      <c r="B28" s="10" t="s">
        <v>14</v>
      </c>
      <c r="C28" s="10" t="s">
        <v>74</v>
      </c>
      <c r="D28" s="3" t="s">
        <v>75</v>
      </c>
      <c r="F28" s="10" t="s">
        <v>76</v>
      </c>
      <c r="G28" s="10" t="s">
        <v>25</v>
      </c>
      <c r="H28" s="11">
        <v>102</v>
      </c>
      <c r="I28" s="12">
        <v>48872354</v>
      </c>
      <c r="J28" s="11">
        <v>0</v>
      </c>
      <c r="K28" s="12">
        <v>0</v>
      </c>
      <c r="L28" s="11">
        <v>0</v>
      </c>
      <c r="M28" s="12">
        <v>0</v>
      </c>
      <c r="N28" s="11">
        <v>102</v>
      </c>
      <c r="O28">
        <f>IF(D28="","",SUMIF([1]Sheet1!$B$9:$B$1040,D28,[1]Sheet1!$N$9:$N$1040))</f>
        <v>94</v>
      </c>
      <c r="P28" s="12">
        <v>48872354</v>
      </c>
      <c r="Q28" s="10"/>
    </row>
    <row r="29" spans="1:17" ht="41.4" hidden="1" x14ac:dyDescent="0.25">
      <c r="A29" s="10" t="s">
        <v>13</v>
      </c>
      <c r="B29" s="10" t="s">
        <v>14</v>
      </c>
      <c r="C29" s="10" t="s">
        <v>77</v>
      </c>
      <c r="D29" s="3" t="s">
        <v>78</v>
      </c>
      <c r="F29" s="10" t="s">
        <v>79</v>
      </c>
      <c r="G29" s="10" t="s">
        <v>25</v>
      </c>
      <c r="H29" s="11">
        <v>720</v>
      </c>
      <c r="I29" s="12">
        <v>344722915</v>
      </c>
      <c r="J29" s="11">
        <v>0</v>
      </c>
      <c r="K29" s="12">
        <v>0</v>
      </c>
      <c r="L29" s="11">
        <v>0</v>
      </c>
      <c r="M29" s="12">
        <v>0</v>
      </c>
      <c r="N29" s="11">
        <v>720</v>
      </c>
      <c r="O29">
        <f>IF(D29="","",SUMIF([1]Sheet1!$B$9:$B$1040,D29,[1]Sheet1!$N$9:$N$1040))</f>
        <v>624</v>
      </c>
      <c r="P29" s="12">
        <v>344722915</v>
      </c>
      <c r="Q29" s="10"/>
    </row>
    <row r="30" spans="1:17" ht="27.6" hidden="1" x14ac:dyDescent="0.25">
      <c r="A30" s="10" t="s">
        <v>13</v>
      </c>
      <c r="B30" s="10" t="s">
        <v>14</v>
      </c>
      <c r="C30" s="10" t="s">
        <v>80</v>
      </c>
      <c r="F30" s="10" t="s">
        <v>81</v>
      </c>
      <c r="G30" s="10" t="s">
        <v>32</v>
      </c>
      <c r="H30" s="11">
        <v>0</v>
      </c>
      <c r="I30" s="12">
        <v>774000</v>
      </c>
      <c r="J30" s="11">
        <v>0</v>
      </c>
      <c r="K30" s="12">
        <v>0</v>
      </c>
      <c r="L30" s="11">
        <v>0</v>
      </c>
      <c r="M30" s="12">
        <v>0</v>
      </c>
      <c r="N30" s="11">
        <v>0</v>
      </c>
      <c r="O30" t="str">
        <f>IF(D30="","",SUMIF([1]Sheet1!$B$9:$B$1040,D30,[1]Sheet1!$N$9:$N$1040))</f>
        <v/>
      </c>
      <c r="P30" s="12">
        <v>774000</v>
      </c>
      <c r="Q30" s="10"/>
    </row>
    <row r="31" spans="1:17" ht="55.2" hidden="1" x14ac:dyDescent="0.25">
      <c r="A31" s="10" t="s">
        <v>13</v>
      </c>
      <c r="B31" s="10" t="s">
        <v>14</v>
      </c>
      <c r="C31" s="10" t="s">
        <v>82</v>
      </c>
      <c r="D31" s="3" t="s">
        <v>83</v>
      </c>
      <c r="F31" s="10" t="s">
        <v>84</v>
      </c>
      <c r="G31" s="10" t="s">
        <v>18</v>
      </c>
      <c r="H31" s="11">
        <v>6</v>
      </c>
      <c r="I31" s="12">
        <v>5190000</v>
      </c>
      <c r="J31" s="11">
        <v>0</v>
      </c>
      <c r="K31" s="12">
        <v>0</v>
      </c>
      <c r="L31" s="11">
        <v>0</v>
      </c>
      <c r="M31" s="12">
        <v>0</v>
      </c>
      <c r="N31" s="11">
        <v>6</v>
      </c>
      <c r="O31">
        <f>IF(D31="","",SUMIF([1]Sheet1!$B$9:$B$1040,D31,[1]Sheet1!$N$9:$N$1040))</f>
        <v>38</v>
      </c>
      <c r="P31" s="12">
        <v>5190000</v>
      </c>
      <c r="Q31" s="10"/>
    </row>
    <row r="32" spans="1:17" hidden="1" x14ac:dyDescent="0.25">
      <c r="A32" s="10" t="s">
        <v>13</v>
      </c>
      <c r="B32" s="10" t="s">
        <v>14</v>
      </c>
      <c r="C32" s="10" t="s">
        <v>85</v>
      </c>
      <c r="D32" s="3" t="s">
        <v>86</v>
      </c>
      <c r="F32" s="10" t="s">
        <v>87</v>
      </c>
      <c r="G32" s="10" t="s">
        <v>18</v>
      </c>
      <c r="H32" s="11">
        <v>3</v>
      </c>
      <c r="I32" s="12">
        <v>39000</v>
      </c>
      <c r="J32" s="11">
        <v>0</v>
      </c>
      <c r="K32" s="12">
        <v>0</v>
      </c>
      <c r="L32" s="11">
        <v>0</v>
      </c>
      <c r="M32" s="12">
        <v>0</v>
      </c>
      <c r="N32" s="11">
        <v>3</v>
      </c>
      <c r="O32">
        <f>IF(D32="","",SUMIF([1]Sheet1!$B$9:$B$1040,D32,[1]Sheet1!$N$9:$N$1040))</f>
        <v>0</v>
      </c>
      <c r="P32" s="12">
        <v>39000</v>
      </c>
      <c r="Q32" s="10"/>
    </row>
    <row r="33" spans="1:17" hidden="1" x14ac:dyDescent="0.25">
      <c r="A33" s="10" t="s">
        <v>13</v>
      </c>
      <c r="B33" s="10" t="s">
        <v>14</v>
      </c>
      <c r="C33" s="10" t="s">
        <v>88</v>
      </c>
      <c r="D33" s="3" t="s">
        <v>89</v>
      </c>
      <c r="F33" s="10" t="s">
        <v>90</v>
      </c>
      <c r="G33" s="10" t="s">
        <v>18</v>
      </c>
      <c r="H33" s="11">
        <v>2</v>
      </c>
      <c r="I33" s="12">
        <v>28000</v>
      </c>
      <c r="J33" s="11">
        <v>0</v>
      </c>
      <c r="K33" s="12">
        <v>0</v>
      </c>
      <c r="L33" s="11">
        <v>0</v>
      </c>
      <c r="M33" s="12">
        <v>0</v>
      </c>
      <c r="N33" s="11">
        <v>2</v>
      </c>
      <c r="O33">
        <f>IF(D33="","",SUMIF([1]Sheet1!$B$9:$B$1040,D33,[1]Sheet1!$N$9:$N$1040))</f>
        <v>13</v>
      </c>
      <c r="P33" s="12">
        <v>28000</v>
      </c>
      <c r="Q33" s="10"/>
    </row>
    <row r="34" spans="1:17" hidden="1" x14ac:dyDescent="0.25">
      <c r="A34" s="10" t="s">
        <v>13</v>
      </c>
      <c r="B34" s="10" t="s">
        <v>14</v>
      </c>
      <c r="C34" s="10" t="s">
        <v>91</v>
      </c>
      <c r="D34" s="3" t="s">
        <v>92</v>
      </c>
      <c r="F34" s="10" t="s">
        <v>93</v>
      </c>
      <c r="G34" s="10" t="s">
        <v>18</v>
      </c>
      <c r="H34" s="11">
        <v>6</v>
      </c>
      <c r="I34" s="12">
        <v>90000</v>
      </c>
      <c r="J34" s="11">
        <v>0</v>
      </c>
      <c r="K34" s="12">
        <v>0</v>
      </c>
      <c r="L34" s="11">
        <v>0</v>
      </c>
      <c r="M34" s="12">
        <v>0</v>
      </c>
      <c r="N34" s="11">
        <v>6</v>
      </c>
      <c r="O34">
        <f>IF(D34="","",SUMIF([1]Sheet1!$B$9:$B$1040,D34,[1]Sheet1!$N$9:$N$1040))</f>
        <v>0</v>
      </c>
      <c r="P34" s="12">
        <v>90000</v>
      </c>
      <c r="Q34" s="10"/>
    </row>
    <row r="35" spans="1:17" hidden="1" x14ac:dyDescent="0.25">
      <c r="A35" s="10" t="s">
        <v>13</v>
      </c>
      <c r="B35" s="10" t="s">
        <v>14</v>
      </c>
      <c r="C35" s="10" t="s">
        <v>94</v>
      </c>
      <c r="D35" s="3" t="s">
        <v>95</v>
      </c>
      <c r="F35" s="10" t="s">
        <v>96</v>
      </c>
      <c r="G35" s="10" t="s">
        <v>18</v>
      </c>
      <c r="H35" s="11">
        <v>10</v>
      </c>
      <c r="I35" s="12">
        <v>170000</v>
      </c>
      <c r="J35" s="11">
        <v>0</v>
      </c>
      <c r="K35" s="12">
        <v>0</v>
      </c>
      <c r="L35" s="11">
        <v>0</v>
      </c>
      <c r="M35" s="12">
        <v>0</v>
      </c>
      <c r="N35" s="11">
        <v>10</v>
      </c>
      <c r="O35">
        <f>IF(D35="","",SUMIF([1]Sheet1!$B$9:$B$1040,D35,[1]Sheet1!$N$9:$N$1040))</f>
        <v>0</v>
      </c>
      <c r="P35" s="12">
        <v>170000</v>
      </c>
      <c r="Q35" s="10"/>
    </row>
    <row r="36" spans="1:17" ht="55.2" hidden="1" x14ac:dyDescent="0.25">
      <c r="A36" s="10" t="s">
        <v>13</v>
      </c>
      <c r="B36" s="10" t="s">
        <v>14</v>
      </c>
      <c r="C36" s="10" t="s">
        <v>97</v>
      </c>
      <c r="F36" s="10" t="s">
        <v>98</v>
      </c>
      <c r="G36" s="10" t="s">
        <v>32</v>
      </c>
      <c r="H36" s="11">
        <v>23</v>
      </c>
      <c r="I36" s="12">
        <v>97348</v>
      </c>
      <c r="J36" s="11">
        <v>0</v>
      </c>
      <c r="K36" s="12">
        <v>0</v>
      </c>
      <c r="L36" s="11">
        <v>0</v>
      </c>
      <c r="M36" s="12">
        <v>0</v>
      </c>
      <c r="N36" s="11">
        <v>23</v>
      </c>
      <c r="O36" t="str">
        <f>IF(D36="","",SUMIF([1]Sheet1!$B$9:$B$1040,D36,[1]Sheet1!$N$9:$N$1040))</f>
        <v/>
      </c>
      <c r="P36" s="12">
        <v>97348</v>
      </c>
      <c r="Q36" s="10"/>
    </row>
    <row r="37" spans="1:17" ht="41.4" hidden="1" x14ac:dyDescent="0.25">
      <c r="A37" s="10" t="s">
        <v>13</v>
      </c>
      <c r="B37" s="10" t="s">
        <v>14</v>
      </c>
      <c r="C37" s="10" t="s">
        <v>99</v>
      </c>
      <c r="D37" t="s">
        <v>99</v>
      </c>
      <c r="E37"/>
      <c r="F37" s="10" t="s">
        <v>100</v>
      </c>
      <c r="G37" s="10" t="s">
        <v>32</v>
      </c>
      <c r="H37" s="11">
        <v>300</v>
      </c>
      <c r="I37" s="12">
        <v>556068030</v>
      </c>
      <c r="J37" s="11">
        <v>0</v>
      </c>
      <c r="K37" s="12">
        <v>0</v>
      </c>
      <c r="L37" s="11">
        <v>0</v>
      </c>
      <c r="M37" s="12">
        <v>0</v>
      </c>
      <c r="N37" s="11">
        <v>300</v>
      </c>
      <c r="O37">
        <f>IF(D37="","",SUMIF([1]Sheet1!$B$9:$B$1040,D37,[1]Sheet1!$N$9:$N$1040))</f>
        <v>591</v>
      </c>
      <c r="P37" s="12">
        <v>556068030</v>
      </c>
      <c r="Q37" s="10"/>
    </row>
    <row r="38" spans="1:17" ht="55.2" x14ac:dyDescent="0.25">
      <c r="A38" s="10" t="s">
        <v>13</v>
      </c>
      <c r="B38" s="10" t="s">
        <v>14</v>
      </c>
      <c r="C38" s="10" t="s">
        <v>101</v>
      </c>
      <c r="D38" s="3" t="s">
        <v>102</v>
      </c>
      <c r="E38" s="3" t="s">
        <v>619</v>
      </c>
      <c r="F38" s="10" t="s">
        <v>103</v>
      </c>
      <c r="G38" s="10" t="s">
        <v>18</v>
      </c>
      <c r="H38" s="11">
        <v>249</v>
      </c>
      <c r="I38" s="12">
        <v>260548399</v>
      </c>
      <c r="J38" s="11">
        <v>0</v>
      </c>
      <c r="K38" s="12">
        <v>0</v>
      </c>
      <c r="L38" s="11">
        <v>0</v>
      </c>
      <c r="M38" s="12">
        <v>0</v>
      </c>
      <c r="N38" s="11">
        <v>249</v>
      </c>
      <c r="O38">
        <f>IF(D38="","",SUMIF([1]Sheet1!$B$9:$B$1040,D38,[1]Sheet1!$N$9:$N$1040))</f>
        <v>542</v>
      </c>
      <c r="P38" s="12">
        <v>260548399</v>
      </c>
      <c r="Q38" s="10"/>
    </row>
    <row r="39" spans="1:17" ht="41.4" hidden="1" x14ac:dyDescent="0.25">
      <c r="A39" s="10" t="s">
        <v>13</v>
      </c>
      <c r="B39" s="10" t="s">
        <v>14</v>
      </c>
      <c r="C39" s="10" t="s">
        <v>104</v>
      </c>
      <c r="D39" s="3" t="s">
        <v>105</v>
      </c>
      <c r="F39" s="10" t="s">
        <v>106</v>
      </c>
      <c r="G39" s="10" t="s">
        <v>32</v>
      </c>
      <c r="H39" s="11">
        <v>12</v>
      </c>
      <c r="I39" s="12">
        <v>2400000</v>
      </c>
      <c r="J39" s="11">
        <v>0</v>
      </c>
      <c r="K39" s="12">
        <v>0</v>
      </c>
      <c r="L39" s="11">
        <v>0</v>
      </c>
      <c r="M39" s="12">
        <v>0</v>
      </c>
      <c r="N39" s="11">
        <v>12</v>
      </c>
      <c r="O39">
        <f>IF(D39="","",SUMIF([1]Sheet1!$B$9:$B$1040,D39,[1]Sheet1!$N$9:$N$1040))</f>
        <v>0</v>
      </c>
      <c r="P39" s="12">
        <v>2400000</v>
      </c>
      <c r="Q39" s="10"/>
    </row>
    <row r="40" spans="1:17" ht="55.2" hidden="1" x14ac:dyDescent="0.25">
      <c r="A40" s="10" t="s">
        <v>13</v>
      </c>
      <c r="B40" s="10" t="s">
        <v>14</v>
      </c>
      <c r="C40" s="10" t="s">
        <v>107</v>
      </c>
      <c r="D40" t="s">
        <v>107</v>
      </c>
      <c r="E40"/>
      <c r="F40" s="10" t="s">
        <v>108</v>
      </c>
      <c r="G40" s="10" t="s">
        <v>18</v>
      </c>
      <c r="H40" s="11">
        <v>60</v>
      </c>
      <c r="I40" s="12">
        <v>43688977</v>
      </c>
      <c r="J40" s="11">
        <v>0</v>
      </c>
      <c r="K40" s="12">
        <v>0</v>
      </c>
      <c r="L40" s="11">
        <v>0</v>
      </c>
      <c r="M40" s="12">
        <v>0</v>
      </c>
      <c r="N40" s="11">
        <v>60</v>
      </c>
      <c r="O40">
        <f>IF(D40="","",SUMIF([1]Sheet1!$B$9:$B$1040,D40,[1]Sheet1!$N$9:$N$1040))</f>
        <v>9</v>
      </c>
      <c r="P40" s="12">
        <v>43688977</v>
      </c>
      <c r="Q40" s="10"/>
    </row>
    <row r="41" spans="1:17" ht="55.2" hidden="1" x14ac:dyDescent="0.25">
      <c r="A41" s="10" t="s">
        <v>13</v>
      </c>
      <c r="B41" s="10" t="s">
        <v>14</v>
      </c>
      <c r="C41" s="10" t="s">
        <v>109</v>
      </c>
      <c r="D41" t="s">
        <v>109</v>
      </c>
      <c r="E41"/>
      <c r="F41" s="10" t="s">
        <v>110</v>
      </c>
      <c r="G41" s="10" t="s">
        <v>18</v>
      </c>
      <c r="H41" s="11">
        <v>49</v>
      </c>
      <c r="I41" s="12">
        <v>43134716</v>
      </c>
      <c r="J41" s="11">
        <v>0</v>
      </c>
      <c r="K41" s="12">
        <v>0</v>
      </c>
      <c r="L41" s="11">
        <v>0</v>
      </c>
      <c r="M41" s="12">
        <v>0</v>
      </c>
      <c r="N41" s="11">
        <v>49</v>
      </c>
      <c r="O41">
        <f>IF(D41="","",SUMIF([1]Sheet1!$B$9:$B$1040,D41,[1]Sheet1!$N$9:$N$1040))</f>
        <v>27</v>
      </c>
      <c r="P41" s="12">
        <v>43134716</v>
      </c>
      <c r="Q41" s="10"/>
    </row>
    <row r="42" spans="1:17" ht="55.2" hidden="1" x14ac:dyDescent="0.25">
      <c r="A42" s="10" t="s">
        <v>13</v>
      </c>
      <c r="B42" s="10" t="s">
        <v>14</v>
      </c>
      <c r="C42" s="10" t="s">
        <v>111</v>
      </c>
      <c r="D42" t="s">
        <v>111</v>
      </c>
      <c r="E42"/>
      <c r="F42" s="10" t="s">
        <v>112</v>
      </c>
      <c r="G42" s="10" t="s">
        <v>18</v>
      </c>
      <c r="H42" s="11">
        <v>73</v>
      </c>
      <c r="I42" s="12">
        <v>55535000</v>
      </c>
      <c r="J42" s="11">
        <v>0</v>
      </c>
      <c r="K42" s="12">
        <v>0</v>
      </c>
      <c r="L42" s="11">
        <v>0</v>
      </c>
      <c r="M42" s="12">
        <v>0</v>
      </c>
      <c r="N42" s="11">
        <v>73</v>
      </c>
      <c r="O42">
        <f>IF(D42="","",SUMIF([1]Sheet1!$B$9:$B$1040,D42,[1]Sheet1!$N$9:$N$1040))</f>
        <v>20</v>
      </c>
      <c r="P42" s="12">
        <v>55535000</v>
      </c>
      <c r="Q42" s="10"/>
    </row>
    <row r="43" spans="1:17" ht="41.4" hidden="1" x14ac:dyDescent="0.25">
      <c r="A43" s="10" t="s">
        <v>13</v>
      </c>
      <c r="B43" s="10" t="s">
        <v>14</v>
      </c>
      <c r="C43" s="10" t="s">
        <v>113</v>
      </c>
      <c r="D43" s="3" t="s">
        <v>114</v>
      </c>
      <c r="F43" s="10" t="s">
        <v>115</v>
      </c>
      <c r="G43" s="10" t="s">
        <v>18</v>
      </c>
      <c r="H43" s="11">
        <v>4</v>
      </c>
      <c r="I43" s="12">
        <v>2452000</v>
      </c>
      <c r="J43" s="11">
        <v>0</v>
      </c>
      <c r="K43" s="12">
        <v>0</v>
      </c>
      <c r="L43" s="11">
        <v>0</v>
      </c>
      <c r="M43" s="12">
        <v>0</v>
      </c>
      <c r="N43" s="11">
        <v>4</v>
      </c>
      <c r="O43">
        <f>IF(D43="","",SUMIF([1]Sheet1!$B$9:$B$1040,D43,[1]Sheet1!$N$9:$N$1040))</f>
        <v>0</v>
      </c>
      <c r="P43" s="12">
        <v>2452000</v>
      </c>
      <c r="Q43" s="10"/>
    </row>
    <row r="44" spans="1:17" ht="27.6" hidden="1" x14ac:dyDescent="0.25">
      <c r="A44" s="10" t="s">
        <v>13</v>
      </c>
      <c r="B44" s="10" t="s">
        <v>14</v>
      </c>
      <c r="C44" s="10" t="s">
        <v>116</v>
      </c>
      <c r="D44" s="3" t="s">
        <v>117</v>
      </c>
      <c r="F44" s="10" t="s">
        <v>118</v>
      </c>
      <c r="G44" s="10" t="s">
        <v>32</v>
      </c>
      <c r="H44" s="11">
        <v>629</v>
      </c>
      <c r="I44" s="12">
        <v>10064000</v>
      </c>
      <c r="J44" s="11">
        <v>0</v>
      </c>
      <c r="K44" s="12">
        <v>0</v>
      </c>
      <c r="L44" s="11">
        <v>0</v>
      </c>
      <c r="M44" s="12">
        <v>0</v>
      </c>
      <c r="N44" s="11">
        <v>629</v>
      </c>
      <c r="O44">
        <f>IF(D44="","",SUMIF([1]Sheet1!$B$9:$B$1040,D44,[1]Sheet1!$N$9:$N$1040))</f>
        <v>0</v>
      </c>
      <c r="P44" s="12">
        <v>10064000</v>
      </c>
      <c r="Q44" s="10"/>
    </row>
    <row r="45" spans="1:17" ht="55.2" hidden="1" x14ac:dyDescent="0.25">
      <c r="A45" s="10" t="s">
        <v>13</v>
      </c>
      <c r="B45" s="10" t="s">
        <v>14</v>
      </c>
      <c r="C45" s="10" t="s">
        <v>119</v>
      </c>
      <c r="D45" s="3" t="s">
        <v>120</v>
      </c>
      <c r="F45" s="10" t="s">
        <v>121</v>
      </c>
      <c r="G45" s="10" t="s">
        <v>32</v>
      </c>
      <c r="H45" s="11">
        <v>4864</v>
      </c>
      <c r="I45" s="12">
        <v>260314351</v>
      </c>
      <c r="J45" s="11">
        <v>0</v>
      </c>
      <c r="K45" s="12">
        <v>0</v>
      </c>
      <c r="L45" s="11">
        <v>0</v>
      </c>
      <c r="M45" s="12">
        <v>0</v>
      </c>
      <c r="N45" s="11">
        <v>4864</v>
      </c>
      <c r="O45">
        <f>IF(D45="","",SUMIF([1]Sheet1!$B$9:$B$1040,D45,[1]Sheet1!$N$9:$N$1040))</f>
        <v>3948</v>
      </c>
      <c r="P45" s="12">
        <v>260314351</v>
      </c>
      <c r="Q45" s="10"/>
    </row>
    <row r="46" spans="1:17" ht="55.2" hidden="1" x14ac:dyDescent="0.25">
      <c r="A46" s="10" t="s">
        <v>13</v>
      </c>
      <c r="B46" s="10" t="s">
        <v>14</v>
      </c>
      <c r="C46" s="10" t="s">
        <v>122</v>
      </c>
      <c r="D46" s="3" t="s">
        <v>123</v>
      </c>
      <c r="F46" s="10" t="s">
        <v>124</v>
      </c>
      <c r="G46" s="10" t="s">
        <v>32</v>
      </c>
      <c r="H46" s="11">
        <v>38</v>
      </c>
      <c r="I46" s="12">
        <v>22448627</v>
      </c>
      <c r="J46" s="11">
        <v>0</v>
      </c>
      <c r="K46" s="12">
        <v>0</v>
      </c>
      <c r="L46" s="11">
        <v>0</v>
      </c>
      <c r="M46" s="12">
        <v>0</v>
      </c>
      <c r="N46" s="11">
        <v>38</v>
      </c>
      <c r="O46">
        <f>IF(D46="","",SUMIF([1]Sheet1!$B$9:$B$1040,D46,[1]Sheet1!$N$9:$N$1040))</f>
        <v>42</v>
      </c>
      <c r="P46" s="12">
        <v>22448627</v>
      </c>
      <c r="Q46" s="10"/>
    </row>
    <row r="47" spans="1:17" ht="41.4" hidden="1" x14ac:dyDescent="0.25">
      <c r="A47" s="10" t="s">
        <v>13</v>
      </c>
      <c r="B47" s="10" t="s">
        <v>14</v>
      </c>
      <c r="C47" s="10" t="s">
        <v>125</v>
      </c>
      <c r="D47" t="s">
        <v>125</v>
      </c>
      <c r="E47"/>
      <c r="F47" s="10" t="s">
        <v>126</v>
      </c>
      <c r="G47" s="10" t="s">
        <v>127</v>
      </c>
      <c r="H47" s="11">
        <v>10245</v>
      </c>
      <c r="I47" s="12">
        <v>82452230</v>
      </c>
      <c r="J47" s="11">
        <v>0</v>
      </c>
      <c r="K47" s="12">
        <v>0</v>
      </c>
      <c r="L47" s="11">
        <v>0</v>
      </c>
      <c r="M47" s="12">
        <v>0</v>
      </c>
      <c r="N47" s="11">
        <v>10245</v>
      </c>
      <c r="O47">
        <f>IF(D47="","",SUMIF([1]Sheet1!$B$9:$B$1040,D47,[1]Sheet1!$N$9:$N$1040))</f>
        <v>9077</v>
      </c>
      <c r="P47" s="12">
        <v>82452230</v>
      </c>
      <c r="Q47" s="10"/>
    </row>
    <row r="48" spans="1:17" ht="27.6" hidden="1" x14ac:dyDescent="0.25">
      <c r="A48" s="10" t="s">
        <v>13</v>
      </c>
      <c r="B48" s="10" t="s">
        <v>14</v>
      </c>
      <c r="C48" s="10" t="s">
        <v>128</v>
      </c>
      <c r="D48" s="3" t="s">
        <v>65</v>
      </c>
      <c r="F48" s="10" t="s">
        <v>129</v>
      </c>
      <c r="G48" s="10" t="s">
        <v>67</v>
      </c>
      <c r="H48" s="11">
        <v>443</v>
      </c>
      <c r="I48" s="12">
        <v>2215000</v>
      </c>
      <c r="J48" s="11">
        <v>0</v>
      </c>
      <c r="K48" s="12">
        <v>0</v>
      </c>
      <c r="L48" s="11">
        <v>0</v>
      </c>
      <c r="M48" s="12">
        <v>0</v>
      </c>
      <c r="N48" s="11">
        <v>443</v>
      </c>
      <c r="O48">
        <f>IF(D48="","",SUMIF([1]Sheet1!$B$9:$B$1040,D48,[1]Sheet1!$N$9:$N$1040))</f>
        <v>0</v>
      </c>
      <c r="P48" s="12">
        <v>2215000</v>
      </c>
      <c r="Q48" s="10"/>
    </row>
    <row r="49" spans="1:17" ht="27.6" hidden="1" x14ac:dyDescent="0.25">
      <c r="A49" s="10" t="s">
        <v>13</v>
      </c>
      <c r="B49" s="10" t="s">
        <v>14</v>
      </c>
      <c r="C49" s="10" t="s">
        <v>130</v>
      </c>
      <c r="D49" s="3" t="s">
        <v>131</v>
      </c>
      <c r="F49" s="10" t="s">
        <v>132</v>
      </c>
      <c r="G49" s="10" t="s">
        <v>25</v>
      </c>
      <c r="H49" s="11">
        <v>310</v>
      </c>
      <c r="I49" s="12">
        <v>113905049</v>
      </c>
      <c r="J49" s="11">
        <v>0</v>
      </c>
      <c r="K49" s="12">
        <v>0</v>
      </c>
      <c r="L49" s="11">
        <v>0</v>
      </c>
      <c r="M49" s="12">
        <v>0</v>
      </c>
      <c r="N49" s="11">
        <v>310</v>
      </c>
      <c r="O49">
        <f>IF(D49="","",SUMIF([1]Sheet1!$B$9:$B$1040,D49,[1]Sheet1!$N$9:$N$1040))</f>
        <v>281</v>
      </c>
      <c r="P49" s="12">
        <v>113905049</v>
      </c>
      <c r="Q49" s="10"/>
    </row>
    <row r="50" spans="1:17" ht="55.2" hidden="1" x14ac:dyDescent="0.25">
      <c r="A50" s="10" t="s">
        <v>13</v>
      </c>
      <c r="B50" s="10" t="s">
        <v>14</v>
      </c>
      <c r="C50" s="10" t="s">
        <v>133</v>
      </c>
      <c r="D50" s="3" t="s">
        <v>134</v>
      </c>
      <c r="F50" s="10" t="s">
        <v>135</v>
      </c>
      <c r="G50" s="10" t="s">
        <v>32</v>
      </c>
      <c r="H50" s="11">
        <v>11</v>
      </c>
      <c r="I50" s="12">
        <v>3553000</v>
      </c>
      <c r="J50" s="11">
        <v>0</v>
      </c>
      <c r="K50" s="12">
        <v>0</v>
      </c>
      <c r="L50" s="11">
        <v>0</v>
      </c>
      <c r="M50" s="12">
        <v>0</v>
      </c>
      <c r="N50" s="11">
        <v>11</v>
      </c>
      <c r="O50">
        <f>IF(D50="","",SUMIF([1]Sheet1!$B$9:$B$1040,D50,[1]Sheet1!$N$9:$N$1040))</f>
        <v>7</v>
      </c>
      <c r="P50" s="12">
        <v>3553000</v>
      </c>
      <c r="Q50" s="10"/>
    </row>
    <row r="51" spans="1:17" ht="55.2" hidden="1" x14ac:dyDescent="0.25">
      <c r="A51" s="10" t="s">
        <v>13</v>
      </c>
      <c r="B51" s="10" t="s">
        <v>14</v>
      </c>
      <c r="C51" s="10" t="s">
        <v>136</v>
      </c>
      <c r="D51" s="3" t="s">
        <v>136</v>
      </c>
      <c r="F51" s="10" t="s">
        <v>137</v>
      </c>
      <c r="G51" s="10" t="s">
        <v>32</v>
      </c>
      <c r="H51" s="11">
        <v>65</v>
      </c>
      <c r="I51" s="12">
        <v>4810000</v>
      </c>
      <c r="J51" s="11">
        <v>0</v>
      </c>
      <c r="K51" s="12">
        <v>0</v>
      </c>
      <c r="L51" s="11">
        <v>0</v>
      </c>
      <c r="M51" s="12">
        <v>0</v>
      </c>
      <c r="N51" s="11">
        <v>65</v>
      </c>
      <c r="O51">
        <f>IF(D51="","",SUMIF([1]Sheet1!$B$9:$B$1040,D51,[1]Sheet1!$N$9:$N$1040))</f>
        <v>32</v>
      </c>
      <c r="P51" s="12">
        <v>4810000</v>
      </c>
      <c r="Q51" s="10"/>
    </row>
    <row r="52" spans="1:17" hidden="1" x14ac:dyDescent="0.25">
      <c r="A52" s="10" t="s">
        <v>13</v>
      </c>
      <c r="B52" s="10" t="s">
        <v>14</v>
      </c>
      <c r="C52" s="10" t="s">
        <v>138</v>
      </c>
      <c r="D52" s="3" t="s">
        <v>139</v>
      </c>
      <c r="F52" s="10" t="s">
        <v>140</v>
      </c>
      <c r="G52" s="10" t="s">
        <v>18</v>
      </c>
      <c r="H52" s="11">
        <v>145</v>
      </c>
      <c r="I52" s="12">
        <v>4539335</v>
      </c>
      <c r="J52" s="11">
        <v>0</v>
      </c>
      <c r="K52" s="12">
        <v>0</v>
      </c>
      <c r="L52" s="11">
        <v>0</v>
      </c>
      <c r="M52" s="12">
        <v>0</v>
      </c>
      <c r="N52" s="11">
        <v>145</v>
      </c>
      <c r="O52">
        <f>IF(D52="","",SUMIF([1]Sheet1!$B$9:$B$1040,D52,[1]Sheet1!$N$9:$N$1040))</f>
        <v>1318</v>
      </c>
      <c r="P52" s="12">
        <v>4539335</v>
      </c>
      <c r="Q52" s="10"/>
    </row>
    <row r="53" spans="1:17" ht="41.4" hidden="1" x14ac:dyDescent="0.25">
      <c r="A53" s="10" t="s">
        <v>13</v>
      </c>
      <c r="B53" s="10" t="s">
        <v>14</v>
      </c>
      <c r="C53" s="10" t="s">
        <v>141</v>
      </c>
      <c r="D53" t="s">
        <v>141</v>
      </c>
      <c r="E53"/>
      <c r="F53" s="10" t="s">
        <v>142</v>
      </c>
      <c r="G53" s="10" t="s">
        <v>32</v>
      </c>
      <c r="H53" s="11">
        <v>69</v>
      </c>
      <c r="I53" s="12">
        <v>5520000</v>
      </c>
      <c r="J53" s="11">
        <v>0</v>
      </c>
      <c r="K53" s="12">
        <v>0</v>
      </c>
      <c r="L53" s="11">
        <v>0</v>
      </c>
      <c r="M53" s="12">
        <v>0</v>
      </c>
      <c r="N53" s="11">
        <v>69</v>
      </c>
      <c r="O53">
        <f>IF(D53="","",SUMIF([1]Sheet1!$B$9:$B$1040,D53,[1]Sheet1!$N$9:$N$1040))</f>
        <v>315</v>
      </c>
      <c r="P53" s="12">
        <v>5520000</v>
      </c>
      <c r="Q53" s="10"/>
    </row>
    <row r="54" spans="1:17" ht="27.6" hidden="1" x14ac:dyDescent="0.25">
      <c r="A54" s="10" t="s">
        <v>13</v>
      </c>
      <c r="B54" s="10" t="s">
        <v>14</v>
      </c>
      <c r="C54" s="10" t="s">
        <v>143</v>
      </c>
      <c r="F54" s="10" t="s">
        <v>144</v>
      </c>
      <c r="G54" s="10" t="s">
        <v>25</v>
      </c>
      <c r="H54" s="11">
        <v>0</v>
      </c>
      <c r="I54" s="12">
        <v>19123061</v>
      </c>
      <c r="J54" s="11">
        <v>0</v>
      </c>
      <c r="K54" s="12">
        <v>0</v>
      </c>
      <c r="L54" s="11">
        <v>0</v>
      </c>
      <c r="M54" s="12">
        <v>0</v>
      </c>
      <c r="N54" s="11">
        <v>0</v>
      </c>
      <c r="O54" t="str">
        <f>IF(D54="","",SUMIF([1]Sheet1!$B$9:$B$1040,D54,[1]Sheet1!$N$9:$N$1040))</f>
        <v/>
      </c>
      <c r="P54" s="12">
        <v>19123061</v>
      </c>
      <c r="Q54" s="10"/>
    </row>
    <row r="55" spans="1:17" ht="27.6" hidden="1" x14ac:dyDescent="0.25">
      <c r="A55" s="10" t="s">
        <v>13</v>
      </c>
      <c r="B55" s="10" t="s">
        <v>14</v>
      </c>
      <c r="C55" s="10" t="s">
        <v>145</v>
      </c>
      <c r="F55" s="10" t="s">
        <v>144</v>
      </c>
      <c r="G55" s="10" t="s">
        <v>25</v>
      </c>
      <c r="H55" s="11">
        <v>0</v>
      </c>
      <c r="I55" s="12">
        <v>6884301</v>
      </c>
      <c r="J55" s="11">
        <v>0</v>
      </c>
      <c r="K55" s="12">
        <v>0</v>
      </c>
      <c r="L55" s="11">
        <v>0</v>
      </c>
      <c r="M55" s="12">
        <v>0</v>
      </c>
      <c r="N55" s="11">
        <v>0</v>
      </c>
      <c r="O55" t="str">
        <f>IF(D55="","",SUMIF([1]Sheet1!$B$9:$B$1040,D55,[1]Sheet1!$N$9:$N$1040))</f>
        <v/>
      </c>
      <c r="P55" s="12">
        <v>6884301</v>
      </c>
      <c r="Q55" s="10"/>
    </row>
    <row r="56" spans="1:17" ht="55.2" hidden="1" x14ac:dyDescent="0.25">
      <c r="A56" s="10" t="s">
        <v>13</v>
      </c>
      <c r="B56" s="10" t="s">
        <v>14</v>
      </c>
      <c r="C56" s="10" t="s">
        <v>146</v>
      </c>
      <c r="D56" t="s">
        <v>146</v>
      </c>
      <c r="E56"/>
      <c r="F56" s="10" t="s">
        <v>147</v>
      </c>
      <c r="G56" s="10" t="s">
        <v>32</v>
      </c>
      <c r="H56" s="11">
        <v>490</v>
      </c>
      <c r="I56" s="12">
        <v>370312049</v>
      </c>
      <c r="J56" s="11">
        <v>0</v>
      </c>
      <c r="K56" s="12">
        <v>0</v>
      </c>
      <c r="L56" s="11">
        <v>0</v>
      </c>
      <c r="M56" s="12">
        <v>0</v>
      </c>
      <c r="N56" s="11">
        <v>490</v>
      </c>
      <c r="O56">
        <f>IF(D56="","",SUMIF([1]Sheet1!$B$9:$B$1040,D56,[1]Sheet1!$N$9:$N$1040))</f>
        <v>439</v>
      </c>
      <c r="P56" s="12">
        <v>370312049</v>
      </c>
      <c r="Q56" s="10"/>
    </row>
    <row r="57" spans="1:17" ht="55.2" hidden="1" x14ac:dyDescent="0.25">
      <c r="A57" s="10" t="s">
        <v>13</v>
      </c>
      <c r="B57" s="10" t="s">
        <v>14</v>
      </c>
      <c r="C57" s="10" t="s">
        <v>148</v>
      </c>
      <c r="D57" s="3" t="s">
        <v>148</v>
      </c>
      <c r="F57" s="10" t="s">
        <v>149</v>
      </c>
      <c r="G57" s="10" t="s">
        <v>32</v>
      </c>
      <c r="H57" s="11">
        <v>137</v>
      </c>
      <c r="I57" s="12">
        <v>8220000</v>
      </c>
      <c r="J57" s="11">
        <v>0</v>
      </c>
      <c r="K57" s="12">
        <v>0</v>
      </c>
      <c r="L57" s="11">
        <v>0</v>
      </c>
      <c r="M57" s="12">
        <v>0</v>
      </c>
      <c r="N57" s="11">
        <v>137</v>
      </c>
      <c r="O57">
        <f>IF(D57="","",SUMIF([1]Sheet1!$B$9:$B$1040,D57,[1]Sheet1!$N$9:$N$1040))</f>
        <v>0</v>
      </c>
      <c r="P57" s="12">
        <v>8220000</v>
      </c>
      <c r="Q57" s="10"/>
    </row>
    <row r="58" spans="1:17" ht="41.4" hidden="1" x14ac:dyDescent="0.25">
      <c r="A58" s="10" t="s">
        <v>13</v>
      </c>
      <c r="B58" s="10" t="s">
        <v>14</v>
      </c>
      <c r="C58" s="10" t="s">
        <v>150</v>
      </c>
      <c r="F58" s="10" t="s">
        <v>151</v>
      </c>
      <c r="G58" s="10"/>
      <c r="H58" s="11">
        <v>100060</v>
      </c>
      <c r="I58" s="12">
        <v>28016800</v>
      </c>
      <c r="J58" s="11">
        <v>0</v>
      </c>
      <c r="K58" s="12">
        <v>0</v>
      </c>
      <c r="L58" s="11">
        <v>0</v>
      </c>
      <c r="M58" s="12">
        <v>0</v>
      </c>
      <c r="N58" s="11">
        <v>100060</v>
      </c>
      <c r="O58" t="str">
        <f>IF(D58="","",SUMIF([1]Sheet1!$B$9:$B$1040,D58,[1]Sheet1!$N$9:$N$1040))</f>
        <v/>
      </c>
      <c r="P58" s="12">
        <v>28016800</v>
      </c>
      <c r="Q58" s="10"/>
    </row>
    <row r="59" spans="1:17" ht="55.2" hidden="1" x14ac:dyDescent="0.25">
      <c r="A59" s="10" t="s">
        <v>13</v>
      </c>
      <c r="B59" s="10" t="s">
        <v>14</v>
      </c>
      <c r="C59" s="10" t="s">
        <v>152</v>
      </c>
      <c r="D59" s="3" t="s">
        <v>153</v>
      </c>
      <c r="F59" s="10" t="s">
        <v>154</v>
      </c>
      <c r="G59" s="10" t="s">
        <v>32</v>
      </c>
      <c r="H59" s="11">
        <v>3231</v>
      </c>
      <c r="I59" s="12">
        <v>71756611</v>
      </c>
      <c r="J59" s="11">
        <v>0</v>
      </c>
      <c r="K59" s="12">
        <v>0</v>
      </c>
      <c r="L59" s="11">
        <v>0</v>
      </c>
      <c r="M59" s="12">
        <v>0</v>
      </c>
      <c r="N59" s="11">
        <v>3231</v>
      </c>
      <c r="O59">
        <f>IF(D59="","",SUMIF([1]Sheet1!$B$9:$B$1040,D59,[1]Sheet1!$N$9:$N$1040))</f>
        <v>3171</v>
      </c>
      <c r="P59" s="12">
        <v>71756611</v>
      </c>
      <c r="Q59" s="10"/>
    </row>
    <row r="60" spans="1:17" ht="27.6" hidden="1" x14ac:dyDescent="0.25">
      <c r="A60" s="10" t="s">
        <v>13</v>
      </c>
      <c r="B60" s="10" t="s">
        <v>14</v>
      </c>
      <c r="C60" s="10" t="s">
        <v>155</v>
      </c>
      <c r="D60" s="3" t="s">
        <v>156</v>
      </c>
      <c r="F60" s="10" t="s">
        <v>157</v>
      </c>
      <c r="G60" s="10" t="s">
        <v>32</v>
      </c>
      <c r="H60" s="11">
        <v>17</v>
      </c>
      <c r="I60" s="12">
        <v>2686000</v>
      </c>
      <c r="J60" s="11">
        <v>0</v>
      </c>
      <c r="K60" s="12">
        <v>0</v>
      </c>
      <c r="L60" s="11">
        <v>0</v>
      </c>
      <c r="M60" s="12">
        <v>0</v>
      </c>
      <c r="N60" s="11">
        <v>17</v>
      </c>
      <c r="O60">
        <f>IF(D60="","",SUMIF([1]Sheet1!$B$9:$B$1040,D60,[1]Sheet1!$N$9:$N$1040))</f>
        <v>0</v>
      </c>
      <c r="P60" s="12">
        <v>2686000</v>
      </c>
      <c r="Q60" s="10"/>
    </row>
    <row r="61" spans="1:17" ht="55.2" hidden="1" x14ac:dyDescent="0.25">
      <c r="A61" s="10" t="s">
        <v>13</v>
      </c>
      <c r="B61" s="10" t="s">
        <v>14</v>
      </c>
      <c r="C61" s="10" t="s">
        <v>158</v>
      </c>
      <c r="D61" s="3" t="s">
        <v>159</v>
      </c>
      <c r="F61" s="10" t="s">
        <v>160</v>
      </c>
      <c r="G61" s="10" t="s">
        <v>32</v>
      </c>
      <c r="H61" s="11">
        <v>7</v>
      </c>
      <c r="I61" s="12">
        <v>672000</v>
      </c>
      <c r="J61" s="11">
        <v>0</v>
      </c>
      <c r="K61" s="12">
        <v>0</v>
      </c>
      <c r="L61" s="11">
        <v>0</v>
      </c>
      <c r="M61" s="12">
        <v>0</v>
      </c>
      <c r="N61" s="11">
        <v>7</v>
      </c>
      <c r="O61">
        <f>IF(D61="","",SUMIF([1]Sheet1!$B$9:$B$1040,D61,[1]Sheet1!$N$9:$N$1040))</f>
        <v>0</v>
      </c>
      <c r="P61" s="12">
        <v>672000</v>
      </c>
      <c r="Q61" s="10"/>
    </row>
    <row r="62" spans="1:17" ht="55.2" hidden="1" x14ac:dyDescent="0.25">
      <c r="A62" s="10" t="s">
        <v>13</v>
      </c>
      <c r="B62" s="10" t="s">
        <v>14</v>
      </c>
      <c r="C62" s="10" t="s">
        <v>161</v>
      </c>
      <c r="D62" s="3" t="s">
        <v>162</v>
      </c>
      <c r="F62" s="10" t="s">
        <v>163</v>
      </c>
      <c r="G62" s="10" t="s">
        <v>32</v>
      </c>
      <c r="H62" s="11">
        <v>55</v>
      </c>
      <c r="I62" s="12">
        <v>5005000</v>
      </c>
      <c r="J62" s="11">
        <v>0</v>
      </c>
      <c r="K62" s="12">
        <v>0</v>
      </c>
      <c r="L62" s="11">
        <v>0</v>
      </c>
      <c r="M62" s="12">
        <v>0</v>
      </c>
      <c r="N62" s="11">
        <v>55</v>
      </c>
      <c r="O62">
        <f>IF(D62="","",SUMIF([1]Sheet1!$B$9:$B$1040,D62,[1]Sheet1!$N$9:$N$1040))</f>
        <v>70</v>
      </c>
      <c r="P62" s="12">
        <v>5005000</v>
      </c>
      <c r="Q62" s="10"/>
    </row>
    <row r="63" spans="1:17" ht="55.2" hidden="1" x14ac:dyDescent="0.25">
      <c r="A63" s="10" t="s">
        <v>13</v>
      </c>
      <c r="B63" s="10" t="s">
        <v>14</v>
      </c>
      <c r="C63" s="10" t="s">
        <v>164</v>
      </c>
      <c r="D63" s="3" t="s">
        <v>165</v>
      </c>
      <c r="F63" s="10" t="s">
        <v>166</v>
      </c>
      <c r="G63" s="10" t="s">
        <v>32</v>
      </c>
      <c r="H63" s="11">
        <v>30</v>
      </c>
      <c r="I63" s="12">
        <v>2730000</v>
      </c>
      <c r="J63" s="11">
        <v>0</v>
      </c>
      <c r="K63" s="12">
        <v>0</v>
      </c>
      <c r="L63" s="11">
        <v>0</v>
      </c>
      <c r="M63" s="12">
        <v>0</v>
      </c>
      <c r="N63" s="11">
        <v>30</v>
      </c>
      <c r="O63">
        <f>IF(D63="","",SUMIF([1]Sheet1!$B$9:$B$1040,D63,[1]Sheet1!$N$9:$N$1040))</f>
        <v>27</v>
      </c>
      <c r="P63" s="12">
        <v>2730000</v>
      </c>
      <c r="Q63" s="10"/>
    </row>
    <row r="64" spans="1:17" ht="55.2" hidden="1" x14ac:dyDescent="0.25">
      <c r="A64" s="10" t="s">
        <v>13</v>
      </c>
      <c r="B64" s="10" t="s">
        <v>14</v>
      </c>
      <c r="C64" s="10" t="s">
        <v>167</v>
      </c>
      <c r="D64" s="3" t="s">
        <v>168</v>
      </c>
      <c r="F64" s="10" t="s">
        <v>169</v>
      </c>
      <c r="G64" s="10" t="s">
        <v>32</v>
      </c>
      <c r="H64" s="11">
        <v>5</v>
      </c>
      <c r="I64" s="12">
        <v>524074</v>
      </c>
      <c r="J64" s="11">
        <v>0</v>
      </c>
      <c r="K64" s="12">
        <v>0</v>
      </c>
      <c r="L64" s="11">
        <v>0</v>
      </c>
      <c r="M64" s="12">
        <v>0</v>
      </c>
      <c r="N64" s="11">
        <v>5</v>
      </c>
      <c r="O64">
        <f>IF(D64="","",SUMIF([1]Sheet1!$B$9:$B$1040,D64,[1]Sheet1!$N$9:$N$1040))</f>
        <v>0</v>
      </c>
      <c r="P64" s="12">
        <v>524074</v>
      </c>
      <c r="Q64" s="10"/>
    </row>
    <row r="65" spans="1:17" ht="55.2" hidden="1" x14ac:dyDescent="0.25">
      <c r="A65" s="10" t="s">
        <v>13</v>
      </c>
      <c r="B65" s="10" t="s">
        <v>14</v>
      </c>
      <c r="C65" s="10" t="s">
        <v>170</v>
      </c>
      <c r="D65" s="3" t="s">
        <v>171</v>
      </c>
      <c r="F65" s="10" t="s">
        <v>172</v>
      </c>
      <c r="G65" s="10" t="s">
        <v>32</v>
      </c>
      <c r="H65" s="11">
        <v>9</v>
      </c>
      <c r="I65" s="12">
        <v>810000</v>
      </c>
      <c r="J65" s="11">
        <v>0</v>
      </c>
      <c r="K65" s="12">
        <v>0</v>
      </c>
      <c r="L65" s="11">
        <v>0</v>
      </c>
      <c r="M65" s="12">
        <v>0</v>
      </c>
      <c r="N65" s="11">
        <v>9</v>
      </c>
      <c r="O65">
        <f>IF(D65="","",SUMIF([1]Sheet1!$B$9:$B$1040,D65,[1]Sheet1!$N$9:$N$1040))</f>
        <v>0</v>
      </c>
      <c r="P65" s="12">
        <v>810000</v>
      </c>
      <c r="Q65" s="10"/>
    </row>
    <row r="66" spans="1:17" ht="55.2" hidden="1" x14ac:dyDescent="0.25">
      <c r="A66" s="10" t="s">
        <v>13</v>
      </c>
      <c r="B66" s="10" t="s">
        <v>14</v>
      </c>
      <c r="C66" s="10" t="s">
        <v>173</v>
      </c>
      <c r="D66" s="3" t="s">
        <v>174</v>
      </c>
      <c r="F66" s="10" t="s">
        <v>175</v>
      </c>
      <c r="G66" s="10" t="s">
        <v>32</v>
      </c>
      <c r="H66" s="11">
        <v>12</v>
      </c>
      <c r="I66" s="12">
        <v>29040000</v>
      </c>
      <c r="J66" s="11">
        <v>0</v>
      </c>
      <c r="K66" s="12">
        <v>0</v>
      </c>
      <c r="L66" s="11">
        <v>0</v>
      </c>
      <c r="M66" s="12">
        <v>0</v>
      </c>
      <c r="N66" s="11">
        <v>12</v>
      </c>
      <c r="O66">
        <f>IF(D66="","",SUMIF([1]Sheet1!$B$9:$B$1040,D66,[1]Sheet1!$N$9:$N$1040))</f>
        <v>0</v>
      </c>
      <c r="P66" s="12">
        <v>29040000</v>
      </c>
      <c r="Q66" s="10"/>
    </row>
    <row r="67" spans="1:17" ht="55.2" hidden="1" x14ac:dyDescent="0.25">
      <c r="A67" s="10" t="s">
        <v>13</v>
      </c>
      <c r="B67" s="10" t="s">
        <v>14</v>
      </c>
      <c r="C67" s="10" t="s">
        <v>176</v>
      </c>
      <c r="D67" s="3" t="s">
        <v>177</v>
      </c>
      <c r="F67" s="10" t="s">
        <v>178</v>
      </c>
      <c r="G67" s="10" t="s">
        <v>32</v>
      </c>
      <c r="H67" s="11">
        <v>34</v>
      </c>
      <c r="I67" s="12">
        <v>64600000</v>
      </c>
      <c r="J67" s="11">
        <v>0</v>
      </c>
      <c r="K67" s="12">
        <v>0</v>
      </c>
      <c r="L67" s="11">
        <v>0</v>
      </c>
      <c r="M67" s="12">
        <v>0</v>
      </c>
      <c r="N67" s="11">
        <v>34</v>
      </c>
      <c r="O67">
        <f>IF(D67="","",SUMIF([1]Sheet1!$B$9:$B$1040,D67,[1]Sheet1!$N$9:$N$1040))</f>
        <v>0</v>
      </c>
      <c r="P67" s="12">
        <v>64600000</v>
      </c>
      <c r="Q67" s="10"/>
    </row>
    <row r="68" spans="1:17" ht="27.6" hidden="1" customHeight="1" x14ac:dyDescent="0.25">
      <c r="A68" s="10" t="s">
        <v>179</v>
      </c>
      <c r="B68" s="10" t="s">
        <v>180</v>
      </c>
      <c r="C68" s="10" t="s">
        <v>181</v>
      </c>
      <c r="D68" s="3" t="s">
        <v>182</v>
      </c>
      <c r="F68" s="10" t="s">
        <v>183</v>
      </c>
      <c r="G68" s="10" t="s">
        <v>18</v>
      </c>
      <c r="H68" s="11">
        <v>9</v>
      </c>
      <c r="I68" s="12">
        <v>95808</v>
      </c>
      <c r="J68" s="11">
        <v>0</v>
      </c>
      <c r="K68" s="12">
        <v>0</v>
      </c>
      <c r="L68" s="11">
        <v>0</v>
      </c>
      <c r="M68" s="12">
        <v>0</v>
      </c>
      <c r="N68" s="11">
        <v>9</v>
      </c>
      <c r="O68">
        <f>IF(D68="","",SUMIF([1]Sheet1!$B$9:$B$1040,D68,[1]Sheet1!$N$9:$N$1040))</f>
        <v>10</v>
      </c>
      <c r="P68" s="12">
        <v>95808</v>
      </c>
      <c r="Q68" s="10"/>
    </row>
    <row r="69" spans="1:17" ht="27.6" hidden="1" customHeight="1" x14ac:dyDescent="0.25">
      <c r="A69" s="10" t="s">
        <v>179</v>
      </c>
      <c r="B69" s="10" t="s">
        <v>180</v>
      </c>
      <c r="C69" s="10" t="s">
        <v>184</v>
      </c>
      <c r="D69" s="3" t="s">
        <v>185</v>
      </c>
      <c r="F69" s="10" t="s">
        <v>186</v>
      </c>
      <c r="G69" s="10" t="s">
        <v>18</v>
      </c>
      <c r="H69" s="11">
        <v>1</v>
      </c>
      <c r="I69" s="12">
        <v>15332</v>
      </c>
      <c r="J69" s="11">
        <v>0</v>
      </c>
      <c r="K69" s="12">
        <v>0</v>
      </c>
      <c r="L69" s="11">
        <v>0</v>
      </c>
      <c r="M69" s="12">
        <v>0</v>
      </c>
      <c r="N69" s="11">
        <v>1</v>
      </c>
      <c r="O69">
        <f>IF(D69="","",SUMIF([1]Sheet1!$B$9:$B$1040,D69,[1]Sheet1!$N$9:$N$1040))</f>
        <v>0</v>
      </c>
      <c r="P69" s="12">
        <v>15332</v>
      </c>
      <c r="Q69" s="10"/>
    </row>
    <row r="70" spans="1:17" ht="27.6" hidden="1" customHeight="1" x14ac:dyDescent="0.25">
      <c r="A70" s="10" t="s">
        <v>179</v>
      </c>
      <c r="B70" s="10" t="s">
        <v>180</v>
      </c>
      <c r="C70" s="10" t="s">
        <v>187</v>
      </c>
      <c r="D70" s="3" t="s">
        <v>188</v>
      </c>
      <c r="F70" s="10" t="s">
        <v>189</v>
      </c>
      <c r="G70" s="10" t="s">
        <v>18</v>
      </c>
      <c r="H70" s="11">
        <v>10</v>
      </c>
      <c r="I70" s="12">
        <v>100277</v>
      </c>
      <c r="J70" s="11">
        <v>0</v>
      </c>
      <c r="K70" s="12">
        <v>0</v>
      </c>
      <c r="L70" s="11">
        <v>0</v>
      </c>
      <c r="M70" s="12">
        <v>0</v>
      </c>
      <c r="N70" s="11">
        <v>10</v>
      </c>
      <c r="O70">
        <f>IF(D70="","",SUMIF([1]Sheet1!$B$9:$B$1040,D70,[1]Sheet1!$N$9:$N$1040))</f>
        <v>0</v>
      </c>
      <c r="P70" s="12">
        <v>100277</v>
      </c>
      <c r="Q70" s="10"/>
    </row>
    <row r="71" spans="1:17" ht="27.6" hidden="1" customHeight="1" x14ac:dyDescent="0.25">
      <c r="A71" s="10" t="s">
        <v>179</v>
      </c>
      <c r="B71" s="10" t="s">
        <v>180</v>
      </c>
      <c r="C71" s="10" t="s">
        <v>190</v>
      </c>
      <c r="D71" s="3" t="s">
        <v>191</v>
      </c>
      <c r="F71" s="10" t="s">
        <v>192</v>
      </c>
      <c r="G71" s="10" t="s">
        <v>18</v>
      </c>
      <c r="H71" s="11">
        <v>10</v>
      </c>
      <c r="I71" s="12">
        <v>100815</v>
      </c>
      <c r="J71" s="11">
        <v>0</v>
      </c>
      <c r="K71" s="12">
        <v>0</v>
      </c>
      <c r="L71" s="11">
        <v>0</v>
      </c>
      <c r="M71" s="12">
        <v>0</v>
      </c>
      <c r="N71" s="11">
        <v>10</v>
      </c>
      <c r="O71">
        <f>IF(D71="","",SUMIF([1]Sheet1!$B$9:$B$1040,D71,[1]Sheet1!$N$9:$N$1040))</f>
        <v>1</v>
      </c>
      <c r="P71" s="12">
        <v>100815</v>
      </c>
      <c r="Q71" s="10"/>
    </row>
    <row r="72" spans="1:17" ht="27.6" hidden="1" customHeight="1" x14ac:dyDescent="0.25">
      <c r="A72" s="10" t="s">
        <v>179</v>
      </c>
      <c r="B72" s="10" t="s">
        <v>180</v>
      </c>
      <c r="C72" s="10" t="s">
        <v>193</v>
      </c>
      <c r="D72" s="3" t="s">
        <v>194</v>
      </c>
      <c r="F72" s="10" t="s">
        <v>195</v>
      </c>
      <c r="G72" s="10" t="s">
        <v>18</v>
      </c>
      <c r="H72" s="11">
        <v>53</v>
      </c>
      <c r="I72" s="12">
        <v>557254</v>
      </c>
      <c r="J72" s="11">
        <v>0</v>
      </c>
      <c r="K72" s="12">
        <v>0</v>
      </c>
      <c r="L72" s="11">
        <v>0</v>
      </c>
      <c r="M72" s="12">
        <v>0</v>
      </c>
      <c r="N72" s="11">
        <v>53</v>
      </c>
      <c r="O72">
        <f>IF(D72="","",SUMIF([1]Sheet1!$B$9:$B$1040,D72,[1]Sheet1!$N$9:$N$1040))</f>
        <v>264</v>
      </c>
      <c r="P72" s="12">
        <v>557254</v>
      </c>
      <c r="Q72" s="10"/>
    </row>
    <row r="73" spans="1:17" ht="27.6" hidden="1" customHeight="1" x14ac:dyDescent="0.25">
      <c r="A73" s="10" t="s">
        <v>179</v>
      </c>
      <c r="B73" s="10" t="s">
        <v>180</v>
      </c>
      <c r="C73" s="10" t="s">
        <v>196</v>
      </c>
      <c r="D73" s="3" t="s">
        <v>197</v>
      </c>
      <c r="F73" s="10" t="s">
        <v>198</v>
      </c>
      <c r="G73" s="10" t="s">
        <v>18</v>
      </c>
      <c r="H73" s="11">
        <v>97</v>
      </c>
      <c r="I73" s="12">
        <v>970948</v>
      </c>
      <c r="J73" s="11">
        <v>0</v>
      </c>
      <c r="K73" s="12">
        <v>0</v>
      </c>
      <c r="L73" s="11">
        <v>0</v>
      </c>
      <c r="M73" s="12">
        <v>0</v>
      </c>
      <c r="N73" s="11">
        <v>97</v>
      </c>
      <c r="O73">
        <f>IF(D73="","",SUMIF([1]Sheet1!$B$9:$B$1040,D73,[1]Sheet1!$N$9:$N$1040))</f>
        <v>0</v>
      </c>
      <c r="P73" s="12">
        <v>970948</v>
      </c>
      <c r="Q73" s="10"/>
    </row>
    <row r="74" spans="1:17" ht="27.6" hidden="1" customHeight="1" x14ac:dyDescent="0.25">
      <c r="A74" s="10" t="s">
        <v>179</v>
      </c>
      <c r="B74" s="10" t="s">
        <v>180</v>
      </c>
      <c r="C74" s="10" t="s">
        <v>199</v>
      </c>
      <c r="D74" s="3" t="s">
        <v>200</v>
      </c>
      <c r="F74" s="10" t="s">
        <v>201</v>
      </c>
      <c r="G74" s="10" t="s">
        <v>32</v>
      </c>
      <c r="H74" s="11">
        <v>7</v>
      </c>
      <c r="I74" s="12">
        <v>145112</v>
      </c>
      <c r="J74" s="11">
        <v>0</v>
      </c>
      <c r="K74" s="12">
        <v>0</v>
      </c>
      <c r="L74" s="11">
        <v>0</v>
      </c>
      <c r="M74" s="12">
        <v>0</v>
      </c>
      <c r="N74" s="11">
        <v>7</v>
      </c>
      <c r="O74">
        <f>IF(D74="","",SUMIF([1]Sheet1!$B$9:$B$1040,D74,[1]Sheet1!$N$9:$N$1040))</f>
        <v>0</v>
      </c>
      <c r="P74" s="12">
        <v>145112</v>
      </c>
      <c r="Q74" s="10"/>
    </row>
    <row r="75" spans="1:17" ht="27.6" hidden="1" customHeight="1" x14ac:dyDescent="0.25">
      <c r="A75" s="10" t="s">
        <v>179</v>
      </c>
      <c r="B75" s="10" t="s">
        <v>180</v>
      </c>
      <c r="C75" s="10" t="s">
        <v>202</v>
      </c>
      <c r="D75" s="3" t="s">
        <v>203</v>
      </c>
      <c r="F75" s="10" t="s">
        <v>204</v>
      </c>
      <c r="G75" s="10" t="s">
        <v>18</v>
      </c>
      <c r="H75" s="11">
        <v>42</v>
      </c>
      <c r="I75" s="12">
        <v>570848</v>
      </c>
      <c r="J75" s="11">
        <v>0</v>
      </c>
      <c r="K75" s="12">
        <v>0</v>
      </c>
      <c r="L75" s="11">
        <v>0</v>
      </c>
      <c r="M75" s="12">
        <v>0</v>
      </c>
      <c r="N75" s="11">
        <v>42</v>
      </c>
      <c r="O75">
        <f>IF(D75="","",SUMIF([1]Sheet1!$B$9:$B$1040,D75,[1]Sheet1!$N$9:$N$1040))</f>
        <v>50</v>
      </c>
      <c r="P75" s="12">
        <v>570848</v>
      </c>
      <c r="Q75" s="10"/>
    </row>
    <row r="76" spans="1:17" ht="27.6" hidden="1" customHeight="1" x14ac:dyDescent="0.25">
      <c r="A76" s="10" t="s">
        <v>179</v>
      </c>
      <c r="B76" s="10" t="s">
        <v>180</v>
      </c>
      <c r="C76" s="10" t="s">
        <v>205</v>
      </c>
      <c r="D76" s="3" t="s">
        <v>206</v>
      </c>
      <c r="F76" s="10" t="s">
        <v>207</v>
      </c>
      <c r="G76" s="10" t="s">
        <v>18</v>
      </c>
      <c r="H76" s="11">
        <v>30</v>
      </c>
      <c r="I76" s="12">
        <v>588892</v>
      </c>
      <c r="J76" s="11">
        <v>0</v>
      </c>
      <c r="K76" s="12">
        <v>0</v>
      </c>
      <c r="L76" s="11">
        <v>0</v>
      </c>
      <c r="M76" s="12">
        <v>0</v>
      </c>
      <c r="N76" s="11">
        <v>30</v>
      </c>
      <c r="O76">
        <f>IF(D76="","",SUMIF([1]Sheet1!$B$9:$B$1040,D76,[1]Sheet1!$N$9:$N$1040))</f>
        <v>0</v>
      </c>
      <c r="P76" s="12">
        <v>588892</v>
      </c>
      <c r="Q76" s="10"/>
    </row>
    <row r="77" spans="1:17" ht="27.6" hidden="1" customHeight="1" x14ac:dyDescent="0.25">
      <c r="A77" s="10" t="s">
        <v>179</v>
      </c>
      <c r="B77" s="10" t="s">
        <v>180</v>
      </c>
      <c r="C77" s="10" t="s">
        <v>208</v>
      </c>
      <c r="D77" s="3" t="s">
        <v>209</v>
      </c>
      <c r="F77" s="10" t="s">
        <v>210</v>
      </c>
      <c r="G77" s="10" t="s">
        <v>18</v>
      </c>
      <c r="H77" s="11">
        <v>1</v>
      </c>
      <c r="I77" s="12">
        <v>10357</v>
      </c>
      <c r="J77" s="11">
        <v>0</v>
      </c>
      <c r="K77" s="12">
        <v>0</v>
      </c>
      <c r="L77" s="11">
        <v>0</v>
      </c>
      <c r="M77" s="12">
        <v>0</v>
      </c>
      <c r="N77" s="11">
        <v>1</v>
      </c>
      <c r="O77">
        <f>IF(D77="","",SUMIF([1]Sheet1!$B$9:$B$1040,D77,[1]Sheet1!$N$9:$N$1040))</f>
        <v>0</v>
      </c>
      <c r="P77" s="12">
        <v>10357</v>
      </c>
      <c r="Q77" s="10"/>
    </row>
    <row r="78" spans="1:17" ht="27.6" hidden="1" customHeight="1" x14ac:dyDescent="0.25">
      <c r="A78" s="10" t="s">
        <v>179</v>
      </c>
      <c r="B78" s="10" t="s">
        <v>180</v>
      </c>
      <c r="C78" s="10" t="s">
        <v>211</v>
      </c>
      <c r="D78" s="3" t="s">
        <v>212</v>
      </c>
      <c r="F78" s="10" t="s">
        <v>213</v>
      </c>
      <c r="G78" s="10" t="s">
        <v>18</v>
      </c>
      <c r="H78" s="11">
        <v>3</v>
      </c>
      <c r="I78" s="12">
        <v>24410</v>
      </c>
      <c r="J78" s="11">
        <v>0</v>
      </c>
      <c r="K78" s="12">
        <v>0</v>
      </c>
      <c r="L78" s="11">
        <v>0</v>
      </c>
      <c r="M78" s="12">
        <v>0</v>
      </c>
      <c r="N78" s="11">
        <v>3</v>
      </c>
      <c r="O78">
        <f>IF(D78="","",SUMIF([1]Sheet1!$B$9:$B$1040,D78,[1]Sheet1!$N$9:$N$1040))</f>
        <v>0</v>
      </c>
      <c r="P78" s="12">
        <v>24410</v>
      </c>
      <c r="Q78" s="10"/>
    </row>
    <row r="79" spans="1:17" ht="27.6" hidden="1" customHeight="1" x14ac:dyDescent="0.25">
      <c r="A79" s="10" t="s">
        <v>179</v>
      </c>
      <c r="B79" s="10" t="s">
        <v>180</v>
      </c>
      <c r="C79" s="10" t="s">
        <v>214</v>
      </c>
      <c r="D79" s="3" t="s">
        <v>215</v>
      </c>
      <c r="F79" s="10" t="s">
        <v>216</v>
      </c>
      <c r="G79" s="10" t="s">
        <v>18</v>
      </c>
      <c r="H79" s="11">
        <v>7</v>
      </c>
      <c r="I79" s="12">
        <v>74517</v>
      </c>
      <c r="J79" s="11">
        <v>0</v>
      </c>
      <c r="K79" s="12">
        <v>0</v>
      </c>
      <c r="L79" s="11">
        <v>0</v>
      </c>
      <c r="M79" s="12">
        <v>0</v>
      </c>
      <c r="N79" s="11">
        <v>7</v>
      </c>
      <c r="O79">
        <f>IF(D79="","",SUMIF([1]Sheet1!$B$9:$B$1040,D79,[1]Sheet1!$N$9:$N$1040))</f>
        <v>0</v>
      </c>
      <c r="P79" s="12">
        <v>74517</v>
      </c>
      <c r="Q79" s="10"/>
    </row>
    <row r="80" spans="1:17" ht="27.6" hidden="1" customHeight="1" x14ac:dyDescent="0.25">
      <c r="A80" s="10" t="s">
        <v>179</v>
      </c>
      <c r="B80" s="10" t="s">
        <v>180</v>
      </c>
      <c r="C80" s="10" t="s">
        <v>217</v>
      </c>
      <c r="D80" s="3" t="s">
        <v>218</v>
      </c>
      <c r="F80" s="10" t="s">
        <v>219</v>
      </c>
      <c r="G80" s="10" t="s">
        <v>18</v>
      </c>
      <c r="H80" s="11">
        <v>10</v>
      </c>
      <c r="I80" s="12">
        <v>103151</v>
      </c>
      <c r="J80" s="11">
        <v>0</v>
      </c>
      <c r="K80" s="12">
        <v>0</v>
      </c>
      <c r="L80" s="11">
        <v>0</v>
      </c>
      <c r="M80" s="12">
        <v>0</v>
      </c>
      <c r="N80" s="11">
        <v>10</v>
      </c>
      <c r="O80">
        <f>IF(D80="","",SUMIF([1]Sheet1!$B$9:$B$1040,D80,[1]Sheet1!$N$9:$N$1040))</f>
        <v>11</v>
      </c>
      <c r="P80" s="12">
        <v>103151</v>
      </c>
      <c r="Q80" s="10"/>
    </row>
    <row r="81" spans="1:17" ht="27.6" hidden="1" customHeight="1" x14ac:dyDescent="0.25">
      <c r="A81" s="10" t="s">
        <v>179</v>
      </c>
      <c r="B81" s="10" t="s">
        <v>180</v>
      </c>
      <c r="C81" s="10" t="s">
        <v>220</v>
      </c>
      <c r="D81" s="3" t="s">
        <v>221</v>
      </c>
      <c r="F81" s="10" t="s">
        <v>222</v>
      </c>
      <c r="G81" s="10" t="s">
        <v>18</v>
      </c>
      <c r="H81" s="11">
        <v>21</v>
      </c>
      <c r="I81" s="12">
        <v>220798</v>
      </c>
      <c r="J81" s="11">
        <v>0</v>
      </c>
      <c r="K81" s="12">
        <v>0</v>
      </c>
      <c r="L81" s="11">
        <v>0</v>
      </c>
      <c r="M81" s="12">
        <v>0</v>
      </c>
      <c r="N81" s="11">
        <v>21</v>
      </c>
      <c r="O81">
        <f>IF(D81="","",SUMIF([1]Sheet1!$B$9:$B$1040,D81,[1]Sheet1!$N$9:$N$1040))</f>
        <v>11</v>
      </c>
      <c r="P81" s="12">
        <v>220798</v>
      </c>
      <c r="Q81" s="10"/>
    </row>
    <row r="82" spans="1:17" ht="27.6" hidden="1" customHeight="1" x14ac:dyDescent="0.25">
      <c r="A82" s="10" t="s">
        <v>179</v>
      </c>
      <c r="B82" s="10" t="s">
        <v>180</v>
      </c>
      <c r="C82" s="10" t="s">
        <v>223</v>
      </c>
      <c r="D82" s="3" t="s">
        <v>224</v>
      </c>
      <c r="F82" s="10" t="s">
        <v>225</v>
      </c>
      <c r="G82" s="10" t="s">
        <v>18</v>
      </c>
      <c r="H82" s="11">
        <v>19</v>
      </c>
      <c r="I82" s="12">
        <v>191550</v>
      </c>
      <c r="J82" s="11">
        <v>0</v>
      </c>
      <c r="K82" s="12">
        <v>0</v>
      </c>
      <c r="L82" s="11">
        <v>0</v>
      </c>
      <c r="M82" s="12">
        <v>0</v>
      </c>
      <c r="N82" s="11">
        <v>19</v>
      </c>
      <c r="O82">
        <f>IF(D82="","",SUMIF([1]Sheet1!$B$9:$B$1040,D82,[1]Sheet1!$N$9:$N$1040))</f>
        <v>1</v>
      </c>
      <c r="P82" s="12">
        <v>191550</v>
      </c>
      <c r="Q82" s="10"/>
    </row>
    <row r="83" spans="1:17" ht="27.6" hidden="1" customHeight="1" x14ac:dyDescent="0.25">
      <c r="A83" s="10" t="s">
        <v>179</v>
      </c>
      <c r="B83" s="10" t="s">
        <v>180</v>
      </c>
      <c r="C83" s="10" t="s">
        <v>226</v>
      </c>
      <c r="D83" s="3" t="s">
        <v>227</v>
      </c>
      <c r="F83" s="10" t="s">
        <v>228</v>
      </c>
      <c r="G83" s="10" t="s">
        <v>18</v>
      </c>
      <c r="H83" s="11">
        <v>1</v>
      </c>
      <c r="I83" s="12">
        <v>10645</v>
      </c>
      <c r="J83" s="11">
        <v>0</v>
      </c>
      <c r="K83" s="12">
        <v>0</v>
      </c>
      <c r="L83" s="11">
        <v>0</v>
      </c>
      <c r="M83" s="12">
        <v>0</v>
      </c>
      <c r="N83" s="11">
        <v>1</v>
      </c>
      <c r="O83">
        <f>IF(D83="","",SUMIF([1]Sheet1!$B$9:$B$1040,D83,[1]Sheet1!$N$9:$N$1040))</f>
        <v>0</v>
      </c>
      <c r="P83" s="12">
        <v>10645</v>
      </c>
      <c r="Q83" s="10"/>
    </row>
    <row r="84" spans="1:17" ht="27.6" hidden="1" customHeight="1" x14ac:dyDescent="0.25">
      <c r="A84" s="10" t="s">
        <v>179</v>
      </c>
      <c r="B84" s="10" t="s">
        <v>180</v>
      </c>
      <c r="C84" s="10" t="s">
        <v>229</v>
      </c>
      <c r="D84" s="3" t="s">
        <v>230</v>
      </c>
      <c r="F84" s="10" t="s">
        <v>231</v>
      </c>
      <c r="G84" s="10" t="s">
        <v>18</v>
      </c>
      <c r="H84" s="11">
        <v>5</v>
      </c>
      <c r="I84" s="12">
        <v>27669</v>
      </c>
      <c r="J84" s="11">
        <v>0</v>
      </c>
      <c r="K84" s="12">
        <v>0</v>
      </c>
      <c r="L84" s="11">
        <v>0</v>
      </c>
      <c r="M84" s="12">
        <v>0</v>
      </c>
      <c r="N84" s="11">
        <v>5</v>
      </c>
      <c r="O84">
        <f>IF(D84="","",SUMIF([1]Sheet1!$B$9:$B$1040,D84,[1]Sheet1!$N$9:$N$1040))</f>
        <v>0</v>
      </c>
      <c r="P84" s="12">
        <v>27669</v>
      </c>
      <c r="Q84" s="10"/>
    </row>
    <row r="85" spans="1:17" ht="27.6" hidden="1" customHeight="1" x14ac:dyDescent="0.25">
      <c r="A85" s="10" t="s">
        <v>179</v>
      </c>
      <c r="B85" s="10" t="s">
        <v>180</v>
      </c>
      <c r="C85" s="10" t="s">
        <v>232</v>
      </c>
      <c r="D85" s="3" t="s">
        <v>233</v>
      </c>
      <c r="F85" s="10" t="s">
        <v>234</v>
      </c>
      <c r="G85" s="10" t="s">
        <v>18</v>
      </c>
      <c r="H85" s="11">
        <v>72</v>
      </c>
      <c r="I85" s="12">
        <v>1065431</v>
      </c>
      <c r="J85" s="11">
        <v>0</v>
      </c>
      <c r="K85" s="12">
        <v>0</v>
      </c>
      <c r="L85" s="11">
        <v>0</v>
      </c>
      <c r="M85" s="12">
        <v>0</v>
      </c>
      <c r="N85" s="11">
        <v>72</v>
      </c>
      <c r="O85">
        <f>IF(D85="","",SUMIF([1]Sheet1!$B$9:$B$1040,D85,[1]Sheet1!$N$9:$N$1040))</f>
        <v>20</v>
      </c>
      <c r="P85" s="12">
        <v>1065431</v>
      </c>
      <c r="Q85" s="10"/>
    </row>
    <row r="86" spans="1:17" ht="27.6" hidden="1" customHeight="1" x14ac:dyDescent="0.25">
      <c r="A86" s="10" t="s">
        <v>179</v>
      </c>
      <c r="B86" s="10" t="s">
        <v>180</v>
      </c>
      <c r="C86" s="10" t="s">
        <v>235</v>
      </c>
      <c r="D86" s="3" t="s">
        <v>236</v>
      </c>
      <c r="F86" s="10" t="s">
        <v>237</v>
      </c>
      <c r="G86" s="10" t="s">
        <v>18</v>
      </c>
      <c r="H86" s="11">
        <v>3</v>
      </c>
      <c r="I86" s="12">
        <v>29883</v>
      </c>
      <c r="J86" s="11">
        <v>0</v>
      </c>
      <c r="K86" s="12">
        <v>0</v>
      </c>
      <c r="L86" s="11">
        <v>0</v>
      </c>
      <c r="M86" s="12">
        <v>0</v>
      </c>
      <c r="N86" s="11">
        <v>3</v>
      </c>
      <c r="O86">
        <f>IF(D86="","",SUMIF([1]Sheet1!$B$9:$B$1040,D86,[1]Sheet1!$N$9:$N$1040))</f>
        <v>0</v>
      </c>
      <c r="P86" s="12">
        <v>29883</v>
      </c>
      <c r="Q86" s="10"/>
    </row>
    <row r="87" spans="1:17" ht="27.6" hidden="1" customHeight="1" x14ac:dyDescent="0.25">
      <c r="A87" s="10" t="s">
        <v>179</v>
      </c>
      <c r="B87" s="10" t="s">
        <v>180</v>
      </c>
      <c r="C87" s="10" t="s">
        <v>238</v>
      </c>
      <c r="D87" s="3" t="s">
        <v>239</v>
      </c>
      <c r="F87" s="10" t="s">
        <v>240</v>
      </c>
      <c r="G87" s="10" t="s">
        <v>18</v>
      </c>
      <c r="H87" s="11">
        <v>423</v>
      </c>
      <c r="I87" s="12">
        <v>4314008</v>
      </c>
      <c r="J87" s="11">
        <v>0</v>
      </c>
      <c r="K87" s="12">
        <v>0</v>
      </c>
      <c r="L87" s="11">
        <v>0</v>
      </c>
      <c r="M87" s="12">
        <v>0</v>
      </c>
      <c r="N87" s="11">
        <v>423</v>
      </c>
      <c r="O87">
        <f>IF(D87="","",SUMIF([1]Sheet1!$B$9:$B$1040,D87,[1]Sheet1!$N$9:$N$1040))</f>
        <v>422</v>
      </c>
      <c r="P87" s="12">
        <v>4314008</v>
      </c>
      <c r="Q87" s="10"/>
    </row>
    <row r="88" spans="1:17" ht="27.6" hidden="1" customHeight="1" x14ac:dyDescent="0.25">
      <c r="A88" s="10" t="s">
        <v>179</v>
      </c>
      <c r="B88" s="10" t="s">
        <v>180</v>
      </c>
      <c r="C88" s="10" t="s">
        <v>241</v>
      </c>
      <c r="D88" s="3" t="s">
        <v>242</v>
      </c>
      <c r="F88" s="10" t="s">
        <v>243</v>
      </c>
      <c r="G88" s="10" t="s">
        <v>18</v>
      </c>
      <c r="H88" s="11">
        <v>38</v>
      </c>
      <c r="I88" s="12">
        <v>129281</v>
      </c>
      <c r="J88" s="11">
        <v>0</v>
      </c>
      <c r="K88" s="12">
        <v>0</v>
      </c>
      <c r="L88" s="11">
        <v>0</v>
      </c>
      <c r="M88" s="12">
        <v>0</v>
      </c>
      <c r="N88" s="11">
        <v>38</v>
      </c>
      <c r="O88">
        <f>IF(D88="","",SUMIF([1]Sheet1!$B$9:$B$1040,D88,[1]Sheet1!$N$9:$N$1040))</f>
        <v>55</v>
      </c>
      <c r="P88" s="12">
        <v>129281</v>
      </c>
      <c r="Q88" s="10"/>
    </row>
    <row r="89" spans="1:17" ht="27.6" hidden="1" customHeight="1" x14ac:dyDescent="0.25">
      <c r="A89" s="10" t="s">
        <v>179</v>
      </c>
      <c r="B89" s="10" t="s">
        <v>180</v>
      </c>
      <c r="C89" s="10" t="s">
        <v>244</v>
      </c>
      <c r="D89" s="3" t="s">
        <v>245</v>
      </c>
      <c r="F89" s="10" t="s">
        <v>246</v>
      </c>
      <c r="G89" s="10" t="s">
        <v>18</v>
      </c>
      <c r="H89" s="11">
        <v>5</v>
      </c>
      <c r="I89" s="12">
        <v>17322</v>
      </c>
      <c r="J89" s="11">
        <v>0</v>
      </c>
      <c r="K89" s="12">
        <v>0</v>
      </c>
      <c r="L89" s="11">
        <v>0</v>
      </c>
      <c r="M89" s="12">
        <v>0</v>
      </c>
      <c r="N89" s="11">
        <v>5</v>
      </c>
      <c r="O89">
        <f>IF(D89="","",SUMIF([1]Sheet1!$B$9:$B$1040,D89,[1]Sheet1!$N$9:$N$1040))</f>
        <v>0</v>
      </c>
      <c r="P89" s="12">
        <v>17322</v>
      </c>
      <c r="Q89" s="10"/>
    </row>
    <row r="90" spans="1:17" ht="27.6" hidden="1" customHeight="1" x14ac:dyDescent="0.25">
      <c r="A90" s="10" t="s">
        <v>179</v>
      </c>
      <c r="B90" s="10" t="s">
        <v>180</v>
      </c>
      <c r="C90" s="10" t="s">
        <v>247</v>
      </c>
      <c r="D90" s="3" t="s">
        <v>248</v>
      </c>
      <c r="F90" s="10" t="s">
        <v>249</v>
      </c>
      <c r="G90" s="10" t="s">
        <v>18</v>
      </c>
      <c r="H90" s="11">
        <v>36</v>
      </c>
      <c r="I90" s="12">
        <v>375912</v>
      </c>
      <c r="J90" s="11">
        <v>0</v>
      </c>
      <c r="K90" s="12">
        <v>0</v>
      </c>
      <c r="L90" s="11">
        <v>0</v>
      </c>
      <c r="M90" s="12">
        <v>0</v>
      </c>
      <c r="N90" s="11">
        <v>36</v>
      </c>
      <c r="O90">
        <f>IF(D90="","",SUMIF([1]Sheet1!$B$9:$B$1040,D90,[1]Sheet1!$N$9:$N$1040))</f>
        <v>29</v>
      </c>
      <c r="P90" s="12">
        <v>375912</v>
      </c>
      <c r="Q90" s="10"/>
    </row>
    <row r="91" spans="1:17" ht="27.6" hidden="1" customHeight="1" x14ac:dyDescent="0.25">
      <c r="A91" s="10" t="s">
        <v>179</v>
      </c>
      <c r="B91" s="10" t="s">
        <v>180</v>
      </c>
      <c r="C91" s="10" t="s">
        <v>250</v>
      </c>
      <c r="D91" s="3" t="s">
        <v>251</v>
      </c>
      <c r="F91" s="10" t="s">
        <v>252</v>
      </c>
      <c r="G91" s="10" t="s">
        <v>18</v>
      </c>
      <c r="H91" s="11">
        <v>7</v>
      </c>
      <c r="I91" s="12">
        <v>70890</v>
      </c>
      <c r="J91" s="11">
        <v>0</v>
      </c>
      <c r="K91" s="12">
        <v>0</v>
      </c>
      <c r="L91" s="11">
        <v>0</v>
      </c>
      <c r="M91" s="12">
        <v>0</v>
      </c>
      <c r="N91" s="11">
        <v>7</v>
      </c>
      <c r="O91">
        <f>IF(D91="","",SUMIF([1]Sheet1!$B$9:$B$1040,D91,[1]Sheet1!$N$9:$N$1040))</f>
        <v>7</v>
      </c>
      <c r="P91" s="12">
        <v>70890</v>
      </c>
      <c r="Q91" s="10"/>
    </row>
    <row r="92" spans="1:17" ht="27.6" hidden="1" customHeight="1" x14ac:dyDescent="0.25">
      <c r="A92" s="10" t="s">
        <v>179</v>
      </c>
      <c r="B92" s="10" t="s">
        <v>180</v>
      </c>
      <c r="C92" s="10" t="s">
        <v>253</v>
      </c>
      <c r="D92" s="3" t="s">
        <v>254</v>
      </c>
      <c r="F92" s="10" t="s">
        <v>255</v>
      </c>
      <c r="G92" s="10" t="s">
        <v>18</v>
      </c>
      <c r="H92" s="11">
        <v>12</v>
      </c>
      <c r="I92" s="12">
        <v>95398</v>
      </c>
      <c r="J92" s="11">
        <v>0</v>
      </c>
      <c r="K92" s="12">
        <v>0</v>
      </c>
      <c r="L92" s="11">
        <v>0</v>
      </c>
      <c r="M92" s="12">
        <v>0</v>
      </c>
      <c r="N92" s="11">
        <v>12</v>
      </c>
      <c r="O92">
        <f>IF(D92="","",SUMIF([1]Sheet1!$B$9:$B$1040,D92,[1]Sheet1!$N$9:$N$1040))</f>
        <v>14</v>
      </c>
      <c r="P92" s="12">
        <v>95398</v>
      </c>
      <c r="Q92" s="10"/>
    </row>
    <row r="93" spans="1:17" ht="27.6" hidden="1" customHeight="1" x14ac:dyDescent="0.25">
      <c r="A93" s="10" t="s">
        <v>179</v>
      </c>
      <c r="B93" s="10" t="s">
        <v>180</v>
      </c>
      <c r="C93" s="10" t="s">
        <v>256</v>
      </c>
      <c r="D93" s="3" t="s">
        <v>257</v>
      </c>
      <c r="F93" s="10" t="s">
        <v>258</v>
      </c>
      <c r="G93" s="10" t="s">
        <v>32</v>
      </c>
      <c r="H93" s="11">
        <v>16</v>
      </c>
      <c r="I93" s="12">
        <v>645348</v>
      </c>
      <c r="J93" s="11">
        <v>0</v>
      </c>
      <c r="K93" s="12">
        <v>0</v>
      </c>
      <c r="L93" s="11">
        <v>0</v>
      </c>
      <c r="M93" s="12">
        <v>0</v>
      </c>
      <c r="N93" s="11">
        <v>16</v>
      </c>
      <c r="O93">
        <f>IF(D93="","",SUMIF([1]Sheet1!$B$9:$B$1040,D93,[1]Sheet1!$N$9:$N$1040))</f>
        <v>27</v>
      </c>
      <c r="P93" s="12">
        <v>645348</v>
      </c>
      <c r="Q93" s="10"/>
    </row>
    <row r="94" spans="1:17" ht="27.6" hidden="1" customHeight="1" x14ac:dyDescent="0.25">
      <c r="A94" s="10" t="s">
        <v>179</v>
      </c>
      <c r="B94" s="10" t="s">
        <v>180</v>
      </c>
      <c r="C94" s="10" t="s">
        <v>259</v>
      </c>
      <c r="D94" s="3" t="s">
        <v>260</v>
      </c>
      <c r="F94" s="10" t="s">
        <v>261</v>
      </c>
      <c r="G94" s="10" t="s">
        <v>18</v>
      </c>
      <c r="H94" s="11">
        <v>3</v>
      </c>
      <c r="I94" s="12">
        <v>23495</v>
      </c>
      <c r="J94" s="11">
        <v>0</v>
      </c>
      <c r="K94" s="12">
        <v>0</v>
      </c>
      <c r="L94" s="11">
        <v>0</v>
      </c>
      <c r="M94" s="12">
        <v>0</v>
      </c>
      <c r="N94" s="11">
        <v>3</v>
      </c>
      <c r="O94">
        <f>IF(D94="","",SUMIF([1]Sheet1!$B$9:$B$1040,D94,[1]Sheet1!$N$9:$N$1040))</f>
        <v>28</v>
      </c>
      <c r="P94" s="12">
        <v>23495</v>
      </c>
      <c r="Q94" s="10"/>
    </row>
    <row r="95" spans="1:17" ht="27.6" hidden="1" customHeight="1" x14ac:dyDescent="0.25">
      <c r="A95" s="10" t="s">
        <v>179</v>
      </c>
      <c r="B95" s="10" t="s">
        <v>180</v>
      </c>
      <c r="C95" s="10" t="s">
        <v>262</v>
      </c>
      <c r="D95" s="3" t="s">
        <v>263</v>
      </c>
      <c r="F95" s="10" t="s">
        <v>264</v>
      </c>
      <c r="G95" s="10" t="s">
        <v>18</v>
      </c>
      <c r="H95" s="11">
        <v>7</v>
      </c>
      <c r="I95" s="12">
        <v>37143</v>
      </c>
      <c r="J95" s="11">
        <v>0</v>
      </c>
      <c r="K95" s="12">
        <v>0</v>
      </c>
      <c r="L95" s="11">
        <v>0</v>
      </c>
      <c r="M95" s="12">
        <v>0</v>
      </c>
      <c r="N95" s="11">
        <v>7</v>
      </c>
      <c r="O95">
        <f>IF(D95="","",SUMIF([1]Sheet1!$B$9:$B$1040,D95,[1]Sheet1!$N$9:$N$1040))</f>
        <v>10</v>
      </c>
      <c r="P95" s="12">
        <v>37143</v>
      </c>
      <c r="Q95" s="10"/>
    </row>
    <row r="96" spans="1:17" ht="27.6" hidden="1" customHeight="1" x14ac:dyDescent="0.25">
      <c r="A96" s="10" t="s">
        <v>179</v>
      </c>
      <c r="B96" s="10" t="s">
        <v>180</v>
      </c>
      <c r="C96" s="10" t="s">
        <v>265</v>
      </c>
      <c r="D96" s="3" t="s">
        <v>266</v>
      </c>
      <c r="F96" s="10" t="s">
        <v>267</v>
      </c>
      <c r="G96" s="10" t="s">
        <v>18</v>
      </c>
      <c r="H96" s="11">
        <v>13</v>
      </c>
      <c r="I96" s="12">
        <v>271564</v>
      </c>
      <c r="J96" s="11">
        <v>0</v>
      </c>
      <c r="K96" s="12">
        <v>0</v>
      </c>
      <c r="L96" s="11">
        <v>0</v>
      </c>
      <c r="M96" s="12">
        <v>0</v>
      </c>
      <c r="N96" s="11">
        <v>13</v>
      </c>
      <c r="O96">
        <f>IF(D96="","",SUMIF([1]Sheet1!$B$9:$B$1040,D96,[1]Sheet1!$N$9:$N$1040))</f>
        <v>0</v>
      </c>
      <c r="P96" s="12">
        <v>271564</v>
      </c>
      <c r="Q96" s="10"/>
    </row>
    <row r="97" spans="1:17" ht="27.6" hidden="1" customHeight="1" x14ac:dyDescent="0.25">
      <c r="A97" s="10" t="s">
        <v>179</v>
      </c>
      <c r="B97" s="10" t="s">
        <v>180</v>
      </c>
      <c r="C97" s="10" t="s">
        <v>268</v>
      </c>
      <c r="D97" s="3" t="s">
        <v>269</v>
      </c>
      <c r="F97" s="10" t="s">
        <v>270</v>
      </c>
      <c r="G97" s="10" t="s">
        <v>18</v>
      </c>
      <c r="H97" s="11">
        <v>18</v>
      </c>
      <c r="I97" s="12">
        <v>365119</v>
      </c>
      <c r="J97" s="11">
        <v>0</v>
      </c>
      <c r="K97" s="12">
        <v>0</v>
      </c>
      <c r="L97" s="11">
        <v>0</v>
      </c>
      <c r="M97" s="12">
        <v>0</v>
      </c>
      <c r="N97" s="11">
        <v>18</v>
      </c>
      <c r="O97">
        <f>IF(D97="","",SUMIF([1]Sheet1!$B$9:$B$1040,D97,[1]Sheet1!$N$9:$N$1040))</f>
        <v>0</v>
      </c>
      <c r="P97" s="12">
        <v>365119</v>
      </c>
      <c r="Q97" s="10"/>
    </row>
    <row r="98" spans="1:17" ht="27.6" hidden="1" customHeight="1" x14ac:dyDescent="0.25">
      <c r="A98" s="10" t="s">
        <v>179</v>
      </c>
      <c r="B98" s="10" t="s">
        <v>180</v>
      </c>
      <c r="C98" s="10" t="s">
        <v>271</v>
      </c>
      <c r="D98" s="3" t="s">
        <v>272</v>
      </c>
      <c r="F98" s="10" t="s">
        <v>273</v>
      </c>
      <c r="G98" s="10" t="s">
        <v>18</v>
      </c>
      <c r="H98" s="11">
        <v>7</v>
      </c>
      <c r="I98" s="12">
        <v>70484</v>
      </c>
      <c r="J98" s="11">
        <v>0</v>
      </c>
      <c r="K98" s="12">
        <v>0</v>
      </c>
      <c r="L98" s="11">
        <v>0</v>
      </c>
      <c r="M98" s="12">
        <v>0</v>
      </c>
      <c r="N98" s="11">
        <v>7</v>
      </c>
      <c r="O98">
        <f>IF(D98="","",SUMIF([1]Sheet1!$B$9:$B$1040,D98,[1]Sheet1!$N$9:$N$1040))</f>
        <v>22</v>
      </c>
      <c r="P98" s="12">
        <v>70484</v>
      </c>
      <c r="Q98" s="10"/>
    </row>
    <row r="99" spans="1:17" ht="27.6" hidden="1" customHeight="1" x14ac:dyDescent="0.25">
      <c r="A99" s="10" t="s">
        <v>179</v>
      </c>
      <c r="B99" s="10" t="s">
        <v>180</v>
      </c>
      <c r="C99" s="10" t="s">
        <v>274</v>
      </c>
      <c r="D99" s="3" t="s">
        <v>275</v>
      </c>
      <c r="F99" s="10" t="s">
        <v>276</v>
      </c>
      <c r="G99" s="10" t="s">
        <v>18</v>
      </c>
      <c r="H99" s="11">
        <v>20</v>
      </c>
      <c r="I99" s="12">
        <v>210285</v>
      </c>
      <c r="J99" s="11">
        <v>0</v>
      </c>
      <c r="K99" s="12">
        <v>0</v>
      </c>
      <c r="L99" s="11">
        <v>0</v>
      </c>
      <c r="M99" s="12">
        <v>0</v>
      </c>
      <c r="N99" s="11">
        <v>20</v>
      </c>
      <c r="O99">
        <f>IF(D99="","",SUMIF([1]Sheet1!$B$9:$B$1040,D99,[1]Sheet1!$N$9:$N$1040))</f>
        <v>0</v>
      </c>
      <c r="P99" s="12">
        <v>210285</v>
      </c>
      <c r="Q99" s="10"/>
    </row>
    <row r="100" spans="1:17" ht="27.6" hidden="1" customHeight="1" x14ac:dyDescent="0.25">
      <c r="A100" s="10" t="s">
        <v>179</v>
      </c>
      <c r="B100" s="10" t="s">
        <v>180</v>
      </c>
      <c r="C100" s="10" t="s">
        <v>277</v>
      </c>
      <c r="D100" s="3" t="s">
        <v>278</v>
      </c>
      <c r="F100" s="10" t="s">
        <v>279</v>
      </c>
      <c r="G100" s="10" t="s">
        <v>18</v>
      </c>
      <c r="H100" s="11">
        <v>134</v>
      </c>
      <c r="I100" s="12">
        <v>1362253</v>
      </c>
      <c r="J100" s="11">
        <v>0</v>
      </c>
      <c r="K100" s="12">
        <v>0</v>
      </c>
      <c r="L100" s="11">
        <v>0</v>
      </c>
      <c r="M100" s="12">
        <v>0</v>
      </c>
      <c r="N100" s="11">
        <v>134</v>
      </c>
      <c r="O100">
        <f>IF(D100="","",SUMIF([1]Sheet1!$B$9:$B$1040,D100,[1]Sheet1!$N$9:$N$1040))</f>
        <v>94</v>
      </c>
      <c r="P100" s="12">
        <v>1362253</v>
      </c>
      <c r="Q100" s="10"/>
    </row>
    <row r="101" spans="1:17" ht="27.6" hidden="1" customHeight="1" x14ac:dyDescent="0.25">
      <c r="A101" s="10" t="s">
        <v>179</v>
      </c>
      <c r="B101" s="10" t="s">
        <v>180</v>
      </c>
      <c r="C101" s="10" t="s">
        <v>280</v>
      </c>
      <c r="D101" s="3" t="s">
        <v>281</v>
      </c>
      <c r="F101" s="10" t="s">
        <v>282</v>
      </c>
      <c r="G101" s="10" t="s">
        <v>18</v>
      </c>
      <c r="H101" s="11">
        <v>34</v>
      </c>
      <c r="I101" s="12">
        <v>357483</v>
      </c>
      <c r="J101" s="11">
        <v>0</v>
      </c>
      <c r="K101" s="12">
        <v>0</v>
      </c>
      <c r="L101" s="11">
        <v>0</v>
      </c>
      <c r="M101" s="12">
        <v>0</v>
      </c>
      <c r="N101" s="11">
        <v>34</v>
      </c>
      <c r="O101">
        <f>IF(D101="","",SUMIF([1]Sheet1!$B$9:$B$1040,D101,[1]Sheet1!$N$9:$N$1040))</f>
        <v>0</v>
      </c>
      <c r="P101" s="12">
        <v>357483</v>
      </c>
      <c r="Q101" s="10"/>
    </row>
    <row r="102" spans="1:17" ht="27.6" hidden="1" customHeight="1" x14ac:dyDescent="0.25">
      <c r="A102" s="10" t="s">
        <v>179</v>
      </c>
      <c r="B102" s="10" t="s">
        <v>180</v>
      </c>
      <c r="C102" s="10" t="s">
        <v>283</v>
      </c>
      <c r="D102" s="3" t="s">
        <v>284</v>
      </c>
      <c r="F102" s="10" t="s">
        <v>285</v>
      </c>
      <c r="G102" s="10" t="s">
        <v>18</v>
      </c>
      <c r="H102" s="11">
        <v>46</v>
      </c>
      <c r="I102" s="12">
        <v>670831</v>
      </c>
      <c r="J102" s="11">
        <v>0</v>
      </c>
      <c r="K102" s="12">
        <v>0</v>
      </c>
      <c r="L102" s="11">
        <v>0</v>
      </c>
      <c r="M102" s="12">
        <v>0</v>
      </c>
      <c r="N102" s="11">
        <v>46</v>
      </c>
      <c r="O102">
        <f>IF(D102="","",SUMIF([1]Sheet1!$B$9:$B$1040,D102,[1]Sheet1!$N$9:$N$1040))</f>
        <v>57</v>
      </c>
      <c r="P102" s="12">
        <v>670831</v>
      </c>
      <c r="Q102" s="10"/>
    </row>
    <row r="103" spans="1:17" ht="27.6" hidden="1" customHeight="1" x14ac:dyDescent="0.25">
      <c r="A103" s="10" t="s">
        <v>179</v>
      </c>
      <c r="B103" s="10" t="s">
        <v>180</v>
      </c>
      <c r="C103" s="10" t="s">
        <v>286</v>
      </c>
      <c r="D103" s="3" t="s">
        <v>287</v>
      </c>
      <c r="F103" s="10" t="s">
        <v>288</v>
      </c>
      <c r="G103" s="10" t="s">
        <v>18</v>
      </c>
      <c r="H103" s="11">
        <v>64</v>
      </c>
      <c r="I103" s="12">
        <v>732211</v>
      </c>
      <c r="J103" s="11">
        <v>0</v>
      </c>
      <c r="K103" s="12">
        <v>0</v>
      </c>
      <c r="L103" s="11">
        <v>0</v>
      </c>
      <c r="M103" s="12">
        <v>0</v>
      </c>
      <c r="N103" s="11">
        <v>64</v>
      </c>
      <c r="O103">
        <f>IF(D103="","",SUMIF([1]Sheet1!$B$9:$B$1040,D103,[1]Sheet1!$N$9:$N$1040))</f>
        <v>11</v>
      </c>
      <c r="P103" s="12">
        <v>732211</v>
      </c>
      <c r="Q103" s="10"/>
    </row>
    <row r="104" spans="1:17" ht="27.6" hidden="1" customHeight="1" x14ac:dyDescent="0.25">
      <c r="A104" s="10" t="s">
        <v>179</v>
      </c>
      <c r="B104" s="10" t="s">
        <v>180</v>
      </c>
      <c r="C104" s="10" t="s">
        <v>289</v>
      </c>
      <c r="D104" s="3" t="s">
        <v>290</v>
      </c>
      <c r="F104" s="10" t="s">
        <v>291</v>
      </c>
      <c r="G104" s="10" t="s">
        <v>18</v>
      </c>
      <c r="H104" s="11">
        <v>6</v>
      </c>
      <c r="I104" s="12">
        <v>69293</v>
      </c>
      <c r="J104" s="11">
        <v>0</v>
      </c>
      <c r="K104" s="12">
        <v>0</v>
      </c>
      <c r="L104" s="11">
        <v>0</v>
      </c>
      <c r="M104" s="12">
        <v>0</v>
      </c>
      <c r="N104" s="11">
        <v>6</v>
      </c>
      <c r="O104">
        <f>IF(D104="","",SUMIF([1]Sheet1!$B$9:$B$1040,D104,[1]Sheet1!$N$9:$N$1040))</f>
        <v>0</v>
      </c>
      <c r="P104" s="12">
        <v>69293</v>
      </c>
      <c r="Q104" s="10"/>
    </row>
    <row r="105" spans="1:17" ht="27.6" hidden="1" customHeight="1" x14ac:dyDescent="0.25">
      <c r="A105" s="10" t="s">
        <v>179</v>
      </c>
      <c r="B105" s="10" t="s">
        <v>180</v>
      </c>
      <c r="C105" s="10" t="s">
        <v>292</v>
      </c>
      <c r="D105" s="3" t="s">
        <v>293</v>
      </c>
      <c r="F105" s="10" t="s">
        <v>294</v>
      </c>
      <c r="G105" s="10" t="s">
        <v>32</v>
      </c>
      <c r="H105" s="11">
        <v>13</v>
      </c>
      <c r="I105" s="12">
        <v>116193</v>
      </c>
      <c r="J105" s="11">
        <v>0</v>
      </c>
      <c r="K105" s="12">
        <v>0</v>
      </c>
      <c r="L105" s="11">
        <v>0</v>
      </c>
      <c r="M105" s="12">
        <v>0</v>
      </c>
      <c r="N105" s="11">
        <v>13</v>
      </c>
      <c r="O105">
        <f>IF(D105="","",SUMIF([1]Sheet1!$B$9:$B$1040,D105,[1]Sheet1!$N$9:$N$1040))</f>
        <v>17</v>
      </c>
      <c r="P105" s="12">
        <v>116193</v>
      </c>
      <c r="Q105" s="10"/>
    </row>
    <row r="106" spans="1:17" ht="27.6" hidden="1" customHeight="1" x14ac:dyDescent="0.25">
      <c r="A106" s="10" t="s">
        <v>179</v>
      </c>
      <c r="B106" s="10" t="s">
        <v>180</v>
      </c>
      <c r="C106" s="10" t="s">
        <v>295</v>
      </c>
      <c r="D106" s="3" t="s">
        <v>296</v>
      </c>
      <c r="F106" s="10" t="s">
        <v>297</v>
      </c>
      <c r="G106" s="10" t="s">
        <v>18</v>
      </c>
      <c r="H106" s="11">
        <v>4</v>
      </c>
      <c r="I106" s="12">
        <v>41025</v>
      </c>
      <c r="J106" s="11">
        <v>0</v>
      </c>
      <c r="K106" s="12">
        <v>0</v>
      </c>
      <c r="L106" s="11">
        <v>0</v>
      </c>
      <c r="M106" s="12">
        <v>0</v>
      </c>
      <c r="N106" s="11">
        <v>4</v>
      </c>
      <c r="O106">
        <f>IF(D106="","",SUMIF([1]Sheet1!$B$9:$B$1040,D106,[1]Sheet1!$N$9:$N$1040))</f>
        <v>0</v>
      </c>
      <c r="P106" s="12">
        <v>41025</v>
      </c>
      <c r="Q106" s="10"/>
    </row>
    <row r="107" spans="1:17" ht="27.6" hidden="1" customHeight="1" x14ac:dyDescent="0.25">
      <c r="A107" s="10" t="s">
        <v>179</v>
      </c>
      <c r="B107" s="10" t="s">
        <v>180</v>
      </c>
      <c r="C107" s="10" t="s">
        <v>298</v>
      </c>
      <c r="D107" s="3" t="s">
        <v>299</v>
      </c>
      <c r="F107" s="10" t="s">
        <v>300</v>
      </c>
      <c r="G107" s="10" t="s">
        <v>18</v>
      </c>
      <c r="H107" s="11">
        <v>17</v>
      </c>
      <c r="I107" s="12">
        <v>170811</v>
      </c>
      <c r="J107" s="11">
        <v>0</v>
      </c>
      <c r="K107" s="12">
        <v>0</v>
      </c>
      <c r="L107" s="11">
        <v>0</v>
      </c>
      <c r="M107" s="12">
        <v>0</v>
      </c>
      <c r="N107" s="11">
        <v>17</v>
      </c>
      <c r="O107">
        <f>IF(D107="","",SUMIF([1]Sheet1!$B$9:$B$1040,D107,[1]Sheet1!$N$9:$N$1040))</f>
        <v>17</v>
      </c>
      <c r="P107" s="12">
        <v>170811</v>
      </c>
      <c r="Q107" s="10"/>
    </row>
    <row r="108" spans="1:17" ht="27.6" hidden="1" customHeight="1" x14ac:dyDescent="0.25">
      <c r="A108" s="10" t="s">
        <v>179</v>
      </c>
      <c r="B108" s="10" t="s">
        <v>180</v>
      </c>
      <c r="C108" s="10" t="s">
        <v>301</v>
      </c>
      <c r="D108" s="3" t="s">
        <v>302</v>
      </c>
      <c r="F108" s="10" t="s">
        <v>303</v>
      </c>
      <c r="G108" s="10" t="s">
        <v>18</v>
      </c>
      <c r="H108" s="11">
        <v>45</v>
      </c>
      <c r="I108" s="12">
        <v>474755</v>
      </c>
      <c r="J108" s="11">
        <v>0</v>
      </c>
      <c r="K108" s="12">
        <v>0</v>
      </c>
      <c r="L108" s="11">
        <v>0</v>
      </c>
      <c r="M108" s="12">
        <v>0</v>
      </c>
      <c r="N108" s="11">
        <v>45</v>
      </c>
      <c r="O108">
        <f>IF(D108="","",SUMIF([1]Sheet1!$B$9:$B$1040,D108,[1]Sheet1!$N$9:$N$1040))</f>
        <v>42</v>
      </c>
      <c r="P108" s="12">
        <v>474755</v>
      </c>
      <c r="Q108" s="10"/>
    </row>
    <row r="109" spans="1:17" ht="27.6" hidden="1" customHeight="1" x14ac:dyDescent="0.25">
      <c r="A109" s="10" t="s">
        <v>179</v>
      </c>
      <c r="B109" s="10" t="s">
        <v>180</v>
      </c>
      <c r="C109" s="10" t="s">
        <v>304</v>
      </c>
      <c r="D109" s="3" t="s">
        <v>305</v>
      </c>
      <c r="F109" s="10" t="s">
        <v>306</v>
      </c>
      <c r="G109" s="10" t="s">
        <v>18</v>
      </c>
      <c r="H109" s="11">
        <v>79</v>
      </c>
      <c r="I109" s="12">
        <v>782655</v>
      </c>
      <c r="J109" s="11">
        <v>0</v>
      </c>
      <c r="K109" s="12">
        <v>0</v>
      </c>
      <c r="L109" s="11">
        <v>0</v>
      </c>
      <c r="M109" s="12">
        <v>0</v>
      </c>
      <c r="N109" s="11">
        <v>79</v>
      </c>
      <c r="O109">
        <f>IF(D109="","",SUMIF([1]Sheet1!$B$9:$B$1040,D109,[1]Sheet1!$N$9:$N$1040))</f>
        <v>89</v>
      </c>
      <c r="P109" s="12">
        <v>782655</v>
      </c>
      <c r="Q109" s="10"/>
    </row>
    <row r="110" spans="1:17" ht="27.6" hidden="1" customHeight="1" x14ac:dyDescent="0.25">
      <c r="A110" s="10" t="s">
        <v>179</v>
      </c>
      <c r="B110" s="10" t="s">
        <v>180</v>
      </c>
      <c r="C110" s="10" t="s">
        <v>307</v>
      </c>
      <c r="D110" s="3" t="s">
        <v>308</v>
      </c>
      <c r="F110" s="10" t="s">
        <v>309</v>
      </c>
      <c r="G110" s="10" t="s">
        <v>18</v>
      </c>
      <c r="H110" s="11">
        <v>12</v>
      </c>
      <c r="I110" s="12">
        <v>133281</v>
      </c>
      <c r="J110" s="11">
        <v>0</v>
      </c>
      <c r="K110" s="12">
        <v>0</v>
      </c>
      <c r="L110" s="11">
        <v>0</v>
      </c>
      <c r="M110" s="12">
        <v>0</v>
      </c>
      <c r="N110" s="11">
        <v>12</v>
      </c>
      <c r="O110">
        <f>IF(D110="","",SUMIF([1]Sheet1!$B$9:$B$1040,D110,[1]Sheet1!$N$9:$N$1040))</f>
        <v>0</v>
      </c>
      <c r="P110" s="12">
        <v>133281</v>
      </c>
      <c r="Q110" s="10"/>
    </row>
    <row r="111" spans="1:17" ht="27.6" hidden="1" customHeight="1" x14ac:dyDescent="0.25">
      <c r="A111" s="10" t="s">
        <v>179</v>
      </c>
      <c r="B111" s="10" t="s">
        <v>180</v>
      </c>
      <c r="C111" s="10" t="s">
        <v>310</v>
      </c>
      <c r="D111" s="3" t="s">
        <v>311</v>
      </c>
      <c r="F111" s="10" t="s">
        <v>312</v>
      </c>
      <c r="G111" s="10" t="s">
        <v>18</v>
      </c>
      <c r="H111" s="11">
        <v>44</v>
      </c>
      <c r="I111" s="12">
        <v>420243</v>
      </c>
      <c r="J111" s="11">
        <v>0</v>
      </c>
      <c r="K111" s="12">
        <v>0</v>
      </c>
      <c r="L111" s="11">
        <v>0</v>
      </c>
      <c r="M111" s="12">
        <v>0</v>
      </c>
      <c r="N111" s="11">
        <v>44</v>
      </c>
      <c r="O111">
        <f>IF(D111="","",SUMIF([1]Sheet1!$B$9:$B$1040,D111,[1]Sheet1!$N$9:$N$1040))</f>
        <v>55</v>
      </c>
      <c r="P111" s="12">
        <v>420243</v>
      </c>
      <c r="Q111" s="10"/>
    </row>
    <row r="112" spans="1:17" ht="27.6" hidden="1" customHeight="1" x14ac:dyDescent="0.25">
      <c r="A112" s="10" t="s">
        <v>179</v>
      </c>
      <c r="B112" s="10" t="s">
        <v>180</v>
      </c>
      <c r="C112" s="10" t="s">
        <v>313</v>
      </c>
      <c r="D112" s="3" t="s">
        <v>314</v>
      </c>
      <c r="F112" s="10" t="s">
        <v>315</v>
      </c>
      <c r="G112" s="10" t="s">
        <v>18</v>
      </c>
      <c r="H112" s="11">
        <v>26</v>
      </c>
      <c r="I112" s="12">
        <v>261252</v>
      </c>
      <c r="J112" s="11">
        <v>0</v>
      </c>
      <c r="K112" s="12">
        <v>0</v>
      </c>
      <c r="L112" s="11">
        <v>0</v>
      </c>
      <c r="M112" s="12">
        <v>0</v>
      </c>
      <c r="N112" s="11">
        <v>26</v>
      </c>
      <c r="O112">
        <f>IF(D112="","",SUMIF([1]Sheet1!$B$9:$B$1040,D112,[1]Sheet1!$N$9:$N$1040))</f>
        <v>28</v>
      </c>
      <c r="P112" s="12">
        <v>261252</v>
      </c>
      <c r="Q112" s="10"/>
    </row>
    <row r="113" spans="1:17" ht="27.6" hidden="1" customHeight="1" x14ac:dyDescent="0.25">
      <c r="A113" s="10" t="s">
        <v>179</v>
      </c>
      <c r="B113" s="10" t="s">
        <v>180</v>
      </c>
      <c r="C113" s="10" t="s">
        <v>316</v>
      </c>
      <c r="D113" s="3" t="s">
        <v>317</v>
      </c>
      <c r="F113" s="10" t="s">
        <v>318</v>
      </c>
      <c r="G113" s="10" t="s">
        <v>18</v>
      </c>
      <c r="H113" s="11">
        <v>90</v>
      </c>
      <c r="I113" s="12">
        <v>909986</v>
      </c>
      <c r="J113" s="11">
        <v>0</v>
      </c>
      <c r="K113" s="12">
        <v>0</v>
      </c>
      <c r="L113" s="11">
        <v>0</v>
      </c>
      <c r="M113" s="12">
        <v>0</v>
      </c>
      <c r="N113" s="11">
        <v>90</v>
      </c>
      <c r="O113">
        <f>IF(D113="","",SUMIF([1]Sheet1!$B$9:$B$1040,D113,[1]Sheet1!$N$9:$N$1040))</f>
        <v>105</v>
      </c>
      <c r="P113" s="12">
        <v>909986</v>
      </c>
      <c r="Q113" s="10"/>
    </row>
    <row r="114" spans="1:17" ht="27.6" hidden="1" customHeight="1" x14ac:dyDescent="0.25">
      <c r="A114" s="10" t="s">
        <v>179</v>
      </c>
      <c r="B114" s="10" t="s">
        <v>180</v>
      </c>
      <c r="C114" s="10" t="s">
        <v>319</v>
      </c>
      <c r="D114" s="3" t="s">
        <v>320</v>
      </c>
      <c r="F114" s="10" t="s">
        <v>321</v>
      </c>
      <c r="G114" s="10" t="s">
        <v>18</v>
      </c>
      <c r="H114" s="11">
        <v>71</v>
      </c>
      <c r="I114" s="12">
        <v>688162</v>
      </c>
      <c r="J114" s="11">
        <v>0</v>
      </c>
      <c r="K114" s="12">
        <v>0</v>
      </c>
      <c r="L114" s="11">
        <v>0</v>
      </c>
      <c r="M114" s="12">
        <v>0</v>
      </c>
      <c r="N114" s="11">
        <v>71</v>
      </c>
      <c r="O114">
        <f>IF(D114="","",SUMIF([1]Sheet1!$B$9:$B$1040,D114,[1]Sheet1!$N$9:$N$1040))</f>
        <v>70</v>
      </c>
      <c r="P114" s="12">
        <v>688162</v>
      </c>
      <c r="Q114" s="10"/>
    </row>
    <row r="115" spans="1:17" ht="27.6" hidden="1" customHeight="1" x14ac:dyDescent="0.25">
      <c r="A115" s="10" t="s">
        <v>179</v>
      </c>
      <c r="B115" s="10" t="s">
        <v>180</v>
      </c>
      <c r="C115" s="10" t="s">
        <v>322</v>
      </c>
      <c r="D115" s="3" t="s">
        <v>323</v>
      </c>
      <c r="F115" s="10" t="s">
        <v>324</v>
      </c>
      <c r="G115" s="10" t="s">
        <v>18</v>
      </c>
      <c r="H115" s="11">
        <v>154</v>
      </c>
      <c r="I115" s="12">
        <v>1481663</v>
      </c>
      <c r="J115" s="11">
        <v>0</v>
      </c>
      <c r="K115" s="12">
        <v>0</v>
      </c>
      <c r="L115" s="11">
        <v>0</v>
      </c>
      <c r="M115" s="12">
        <v>0</v>
      </c>
      <c r="N115" s="11">
        <v>154</v>
      </c>
      <c r="O115">
        <f>IF(D115="","",SUMIF([1]Sheet1!$B$9:$B$1040,D115,[1]Sheet1!$N$9:$N$1040))</f>
        <v>151</v>
      </c>
      <c r="P115" s="12">
        <v>1481663</v>
      </c>
      <c r="Q115" s="10"/>
    </row>
    <row r="116" spans="1:17" ht="27.6" hidden="1" customHeight="1" x14ac:dyDescent="0.25">
      <c r="A116" s="10" t="s">
        <v>179</v>
      </c>
      <c r="B116" s="10" t="s">
        <v>180</v>
      </c>
      <c r="C116" s="10" t="s">
        <v>325</v>
      </c>
      <c r="D116" s="3" t="s">
        <v>326</v>
      </c>
      <c r="F116" s="10" t="s">
        <v>327</v>
      </c>
      <c r="G116" s="10" t="s">
        <v>18</v>
      </c>
      <c r="H116" s="11">
        <v>14</v>
      </c>
      <c r="I116" s="12">
        <v>156879</v>
      </c>
      <c r="J116" s="11">
        <v>0</v>
      </c>
      <c r="K116" s="12">
        <v>0</v>
      </c>
      <c r="L116" s="11">
        <v>0</v>
      </c>
      <c r="M116" s="12">
        <v>0</v>
      </c>
      <c r="N116" s="11">
        <v>14</v>
      </c>
      <c r="O116">
        <f>IF(D116="","",SUMIF([1]Sheet1!$B$9:$B$1040,D116,[1]Sheet1!$N$9:$N$1040))</f>
        <v>0</v>
      </c>
      <c r="P116" s="12">
        <v>156879</v>
      </c>
      <c r="Q116" s="10"/>
    </row>
    <row r="117" spans="1:17" ht="27.6" hidden="1" customHeight="1" x14ac:dyDescent="0.25">
      <c r="A117" s="10" t="s">
        <v>179</v>
      </c>
      <c r="B117" s="10" t="s">
        <v>180</v>
      </c>
      <c r="C117" s="10" t="s">
        <v>328</v>
      </c>
      <c r="D117" s="3" t="s">
        <v>329</v>
      </c>
      <c r="F117" s="10" t="s">
        <v>330</v>
      </c>
      <c r="G117" s="10" t="s">
        <v>18</v>
      </c>
      <c r="H117" s="11">
        <v>9</v>
      </c>
      <c r="I117" s="12">
        <v>140651</v>
      </c>
      <c r="J117" s="11">
        <v>0</v>
      </c>
      <c r="K117" s="12">
        <v>0</v>
      </c>
      <c r="L117" s="11">
        <v>0</v>
      </c>
      <c r="M117" s="12">
        <v>0</v>
      </c>
      <c r="N117" s="11">
        <v>9</v>
      </c>
      <c r="O117">
        <f>IF(D117="","",SUMIF([1]Sheet1!$B$9:$B$1040,D117,[1]Sheet1!$N$9:$N$1040))</f>
        <v>0</v>
      </c>
      <c r="P117" s="12">
        <v>140651</v>
      </c>
      <c r="Q117" s="10"/>
    </row>
    <row r="118" spans="1:17" ht="27.6" hidden="1" customHeight="1" x14ac:dyDescent="0.25">
      <c r="A118" s="10" t="s">
        <v>179</v>
      </c>
      <c r="B118" s="10" t="s">
        <v>180</v>
      </c>
      <c r="C118" s="10" t="s">
        <v>331</v>
      </c>
      <c r="D118" s="3" t="s">
        <v>332</v>
      </c>
      <c r="F118" s="10" t="s">
        <v>333</v>
      </c>
      <c r="G118" s="10" t="s">
        <v>18</v>
      </c>
      <c r="H118" s="11">
        <v>140</v>
      </c>
      <c r="I118" s="12">
        <v>1405188</v>
      </c>
      <c r="J118" s="11">
        <v>0</v>
      </c>
      <c r="K118" s="12">
        <v>0</v>
      </c>
      <c r="L118" s="11">
        <v>0</v>
      </c>
      <c r="M118" s="12">
        <v>0</v>
      </c>
      <c r="N118" s="11">
        <v>140</v>
      </c>
      <c r="O118">
        <f>IF(D118="","",SUMIF([1]Sheet1!$B$9:$B$1040,D118,[1]Sheet1!$N$9:$N$1040))</f>
        <v>145</v>
      </c>
      <c r="P118" s="12">
        <v>1405188</v>
      </c>
      <c r="Q118" s="10"/>
    </row>
    <row r="119" spans="1:17" ht="27.6" hidden="1" customHeight="1" x14ac:dyDescent="0.25">
      <c r="A119" s="10" t="s">
        <v>179</v>
      </c>
      <c r="B119" s="10" t="s">
        <v>180</v>
      </c>
      <c r="C119" s="10" t="s">
        <v>334</v>
      </c>
      <c r="D119" s="3" t="s">
        <v>335</v>
      </c>
      <c r="F119" s="10" t="s">
        <v>336</v>
      </c>
      <c r="G119" s="10" t="s">
        <v>18</v>
      </c>
      <c r="H119" s="11">
        <v>38</v>
      </c>
      <c r="I119" s="12">
        <v>401646</v>
      </c>
      <c r="J119" s="11">
        <v>0</v>
      </c>
      <c r="K119" s="12">
        <v>0</v>
      </c>
      <c r="L119" s="11">
        <v>0</v>
      </c>
      <c r="M119" s="12">
        <v>0</v>
      </c>
      <c r="N119" s="11">
        <v>38</v>
      </c>
      <c r="O119">
        <f>IF(D119="","",SUMIF([1]Sheet1!$B$9:$B$1040,D119,[1]Sheet1!$N$9:$N$1040))</f>
        <v>34</v>
      </c>
      <c r="P119" s="12">
        <v>401646</v>
      </c>
      <c r="Q119" s="10"/>
    </row>
    <row r="120" spans="1:17" ht="27.6" hidden="1" customHeight="1" x14ac:dyDescent="0.25">
      <c r="A120" s="10" t="s">
        <v>179</v>
      </c>
      <c r="B120" s="10" t="s">
        <v>180</v>
      </c>
      <c r="C120" s="10" t="s">
        <v>337</v>
      </c>
      <c r="D120" s="3" t="s">
        <v>338</v>
      </c>
      <c r="F120" s="10" t="s">
        <v>339</v>
      </c>
      <c r="G120" s="10" t="s">
        <v>18</v>
      </c>
      <c r="H120" s="11">
        <v>21</v>
      </c>
      <c r="I120" s="12">
        <v>217633</v>
      </c>
      <c r="J120" s="11">
        <v>0</v>
      </c>
      <c r="K120" s="12">
        <v>0</v>
      </c>
      <c r="L120" s="11">
        <v>0</v>
      </c>
      <c r="M120" s="12">
        <v>0</v>
      </c>
      <c r="N120" s="11">
        <v>21</v>
      </c>
      <c r="O120">
        <f>IF(D120="","",SUMIF([1]Sheet1!$B$9:$B$1040,D120,[1]Sheet1!$N$9:$N$1040))</f>
        <v>16</v>
      </c>
      <c r="P120" s="12">
        <v>217633</v>
      </c>
      <c r="Q120" s="10"/>
    </row>
    <row r="121" spans="1:17" ht="27.6" hidden="1" customHeight="1" x14ac:dyDescent="0.25">
      <c r="A121" s="10" t="s">
        <v>179</v>
      </c>
      <c r="B121" s="10" t="s">
        <v>180</v>
      </c>
      <c r="C121" s="10" t="s">
        <v>340</v>
      </c>
      <c r="D121" s="3" t="s">
        <v>341</v>
      </c>
      <c r="F121" s="10" t="s">
        <v>342</v>
      </c>
      <c r="G121" s="10" t="s">
        <v>18</v>
      </c>
      <c r="H121" s="11">
        <v>6</v>
      </c>
      <c r="I121" s="12">
        <v>61657</v>
      </c>
      <c r="J121" s="11">
        <v>0</v>
      </c>
      <c r="K121" s="12">
        <v>0</v>
      </c>
      <c r="L121" s="11">
        <v>0</v>
      </c>
      <c r="M121" s="12">
        <v>0</v>
      </c>
      <c r="N121" s="11">
        <v>6</v>
      </c>
      <c r="O121">
        <f>IF(D121="","",SUMIF([1]Sheet1!$B$9:$B$1040,D121,[1]Sheet1!$N$9:$N$1040))</f>
        <v>0</v>
      </c>
      <c r="P121" s="12">
        <v>61657</v>
      </c>
      <c r="Q121" s="10"/>
    </row>
    <row r="122" spans="1:17" ht="27.6" hidden="1" customHeight="1" x14ac:dyDescent="0.25">
      <c r="A122" s="10" t="s">
        <v>179</v>
      </c>
      <c r="B122" s="10" t="s">
        <v>180</v>
      </c>
      <c r="C122" s="10" t="s">
        <v>343</v>
      </c>
      <c r="D122" s="3" t="s">
        <v>344</v>
      </c>
      <c r="F122" s="10" t="s">
        <v>345</v>
      </c>
      <c r="G122" s="10" t="s">
        <v>18</v>
      </c>
      <c r="H122" s="11">
        <v>47</v>
      </c>
      <c r="I122" s="12">
        <v>471935</v>
      </c>
      <c r="J122" s="11">
        <v>0</v>
      </c>
      <c r="K122" s="12">
        <v>0</v>
      </c>
      <c r="L122" s="11">
        <v>0</v>
      </c>
      <c r="M122" s="12">
        <v>0</v>
      </c>
      <c r="N122" s="11">
        <v>47</v>
      </c>
      <c r="O122">
        <f>IF(D122="","",SUMIF([1]Sheet1!$B$9:$B$1040,D122,[1]Sheet1!$N$9:$N$1040))</f>
        <v>50</v>
      </c>
      <c r="P122" s="12">
        <v>471935</v>
      </c>
      <c r="Q122" s="10"/>
    </row>
    <row r="123" spans="1:17" ht="27.6" hidden="1" customHeight="1" x14ac:dyDescent="0.25">
      <c r="A123" s="10" t="s">
        <v>179</v>
      </c>
      <c r="B123" s="10" t="s">
        <v>180</v>
      </c>
      <c r="C123" s="10" t="s">
        <v>346</v>
      </c>
      <c r="D123" s="3" t="s">
        <v>347</v>
      </c>
      <c r="F123" s="10" t="s">
        <v>348</v>
      </c>
      <c r="G123" s="10" t="s">
        <v>18</v>
      </c>
      <c r="H123" s="11">
        <v>129</v>
      </c>
      <c r="I123" s="12">
        <v>1296120</v>
      </c>
      <c r="J123" s="11">
        <v>0</v>
      </c>
      <c r="K123" s="12">
        <v>0</v>
      </c>
      <c r="L123" s="11">
        <v>0</v>
      </c>
      <c r="M123" s="12">
        <v>0</v>
      </c>
      <c r="N123" s="11">
        <v>129</v>
      </c>
      <c r="O123">
        <f>IF(D123="","",SUMIF([1]Sheet1!$B$9:$B$1040,D123,[1]Sheet1!$N$9:$N$1040))</f>
        <v>123</v>
      </c>
      <c r="P123" s="12">
        <v>1296120</v>
      </c>
      <c r="Q123" s="10"/>
    </row>
    <row r="124" spans="1:17" ht="27.6" hidden="1" customHeight="1" x14ac:dyDescent="0.25">
      <c r="A124" s="10" t="s">
        <v>179</v>
      </c>
      <c r="B124" s="10" t="s">
        <v>180</v>
      </c>
      <c r="C124" s="10" t="s">
        <v>349</v>
      </c>
      <c r="D124" s="3" t="s">
        <v>350</v>
      </c>
      <c r="F124" s="10" t="s">
        <v>351</v>
      </c>
      <c r="G124" s="10" t="s">
        <v>18</v>
      </c>
      <c r="H124" s="11">
        <v>37</v>
      </c>
      <c r="I124" s="12">
        <v>392652</v>
      </c>
      <c r="J124" s="11">
        <v>0</v>
      </c>
      <c r="K124" s="12">
        <v>0</v>
      </c>
      <c r="L124" s="11">
        <v>0</v>
      </c>
      <c r="M124" s="12">
        <v>0</v>
      </c>
      <c r="N124" s="11">
        <v>37</v>
      </c>
      <c r="O124">
        <f>IF(D124="","",SUMIF([1]Sheet1!$B$9:$B$1040,D124,[1]Sheet1!$N$9:$N$1040))</f>
        <v>40</v>
      </c>
      <c r="P124" s="12">
        <v>392652</v>
      </c>
      <c r="Q124" s="10"/>
    </row>
    <row r="125" spans="1:17" ht="27.6" hidden="1" customHeight="1" x14ac:dyDescent="0.25">
      <c r="A125" s="10" t="s">
        <v>179</v>
      </c>
      <c r="B125" s="10" t="s">
        <v>180</v>
      </c>
      <c r="C125" s="10" t="s">
        <v>352</v>
      </c>
      <c r="D125" s="3" t="s">
        <v>353</v>
      </c>
      <c r="F125" s="10" t="s">
        <v>354</v>
      </c>
      <c r="G125" s="10" t="s">
        <v>18</v>
      </c>
      <c r="H125" s="11">
        <v>69</v>
      </c>
      <c r="I125" s="12">
        <v>748198</v>
      </c>
      <c r="J125" s="11">
        <v>0</v>
      </c>
      <c r="K125" s="12">
        <v>0</v>
      </c>
      <c r="L125" s="11">
        <v>0</v>
      </c>
      <c r="M125" s="12">
        <v>0</v>
      </c>
      <c r="N125" s="11">
        <v>69</v>
      </c>
      <c r="O125">
        <f>IF(D125="","",SUMIF([1]Sheet1!$B$9:$B$1040,D125,[1]Sheet1!$N$9:$N$1040))</f>
        <v>60</v>
      </c>
      <c r="P125" s="12">
        <v>748198</v>
      </c>
      <c r="Q125" s="10"/>
    </row>
    <row r="126" spans="1:17" ht="27.6" hidden="1" customHeight="1" x14ac:dyDescent="0.25">
      <c r="A126" s="10" t="s">
        <v>179</v>
      </c>
      <c r="B126" s="10" t="s">
        <v>180</v>
      </c>
      <c r="C126" s="10" t="s">
        <v>355</v>
      </c>
      <c r="D126" s="3" t="s">
        <v>356</v>
      </c>
      <c r="F126" s="10" t="s">
        <v>357</v>
      </c>
      <c r="G126" s="10" t="s">
        <v>18</v>
      </c>
      <c r="H126" s="11">
        <v>12</v>
      </c>
      <c r="I126" s="12">
        <v>125811</v>
      </c>
      <c r="J126" s="11">
        <v>0</v>
      </c>
      <c r="K126" s="12">
        <v>0</v>
      </c>
      <c r="L126" s="11">
        <v>0</v>
      </c>
      <c r="M126" s="12">
        <v>0</v>
      </c>
      <c r="N126" s="11">
        <v>12</v>
      </c>
      <c r="O126">
        <f>IF(D126="","",SUMIF([1]Sheet1!$B$9:$B$1040,D126,[1]Sheet1!$N$9:$N$1040))</f>
        <v>0</v>
      </c>
      <c r="P126" s="12">
        <v>125811</v>
      </c>
      <c r="Q126" s="10"/>
    </row>
    <row r="127" spans="1:17" ht="27.6" hidden="1" customHeight="1" x14ac:dyDescent="0.25">
      <c r="A127" s="10" t="s">
        <v>179</v>
      </c>
      <c r="B127" s="10" t="s">
        <v>180</v>
      </c>
      <c r="C127" s="10" t="s">
        <v>358</v>
      </c>
      <c r="D127" s="3" t="s">
        <v>359</v>
      </c>
      <c r="F127" s="10" t="s">
        <v>360</v>
      </c>
      <c r="G127" s="10" t="s">
        <v>18</v>
      </c>
      <c r="H127" s="11">
        <v>150</v>
      </c>
      <c r="I127" s="12">
        <v>1629515</v>
      </c>
      <c r="J127" s="11">
        <v>0</v>
      </c>
      <c r="K127" s="12">
        <v>0</v>
      </c>
      <c r="L127" s="11">
        <v>0</v>
      </c>
      <c r="M127" s="12">
        <v>0</v>
      </c>
      <c r="N127" s="11">
        <v>150</v>
      </c>
      <c r="O127">
        <f>IF(D127="","",SUMIF([1]Sheet1!$B$9:$B$1040,D127,[1]Sheet1!$N$9:$N$1040))</f>
        <v>142</v>
      </c>
      <c r="P127" s="12">
        <v>1629515</v>
      </c>
      <c r="Q127" s="10"/>
    </row>
    <row r="128" spans="1:17" ht="27.6" hidden="1" customHeight="1" x14ac:dyDescent="0.25">
      <c r="A128" s="10" t="s">
        <v>179</v>
      </c>
      <c r="B128" s="10" t="s">
        <v>180</v>
      </c>
      <c r="C128" s="10" t="s">
        <v>361</v>
      </c>
      <c r="D128" s="3" t="s">
        <v>362</v>
      </c>
      <c r="F128" s="10" t="s">
        <v>363</v>
      </c>
      <c r="G128" s="10" t="s">
        <v>18</v>
      </c>
      <c r="H128" s="11">
        <v>58</v>
      </c>
      <c r="I128" s="12">
        <v>646282</v>
      </c>
      <c r="J128" s="11">
        <v>0</v>
      </c>
      <c r="K128" s="12">
        <v>0</v>
      </c>
      <c r="L128" s="11">
        <v>0</v>
      </c>
      <c r="M128" s="12">
        <v>0</v>
      </c>
      <c r="N128" s="11">
        <v>58</v>
      </c>
      <c r="O128">
        <f>IF(D128="","",SUMIF([1]Sheet1!$B$9:$B$1040,D128,[1]Sheet1!$N$9:$N$1040))</f>
        <v>56</v>
      </c>
      <c r="P128" s="12">
        <v>646282</v>
      </c>
      <c r="Q128" s="10"/>
    </row>
    <row r="129" spans="1:17" ht="27.6" hidden="1" customHeight="1" x14ac:dyDescent="0.25">
      <c r="A129" s="10" t="s">
        <v>179</v>
      </c>
      <c r="B129" s="10" t="s">
        <v>180</v>
      </c>
      <c r="C129" s="10" t="s">
        <v>364</v>
      </c>
      <c r="D129" s="3" t="s">
        <v>365</v>
      </c>
      <c r="F129" s="10" t="s">
        <v>366</v>
      </c>
      <c r="G129" s="10" t="s">
        <v>18</v>
      </c>
      <c r="H129" s="11">
        <v>1</v>
      </c>
      <c r="I129" s="12">
        <v>11143</v>
      </c>
      <c r="J129" s="11">
        <v>0</v>
      </c>
      <c r="K129" s="12">
        <v>0</v>
      </c>
      <c r="L129" s="11">
        <v>0</v>
      </c>
      <c r="M129" s="12">
        <v>0</v>
      </c>
      <c r="N129" s="11">
        <v>1</v>
      </c>
      <c r="O129">
        <f>IF(D129="","",SUMIF([1]Sheet1!$B$9:$B$1040,D129,[1]Sheet1!$N$9:$N$1040))</f>
        <v>1</v>
      </c>
      <c r="P129" s="12">
        <v>11143</v>
      </c>
      <c r="Q129" s="10"/>
    </row>
    <row r="130" spans="1:17" ht="27.6" hidden="1" customHeight="1" x14ac:dyDescent="0.25">
      <c r="A130" s="10" t="s">
        <v>179</v>
      </c>
      <c r="B130" s="10" t="s">
        <v>180</v>
      </c>
      <c r="C130" s="10" t="s">
        <v>367</v>
      </c>
      <c r="D130" s="3" t="s">
        <v>368</v>
      </c>
      <c r="F130" s="10" t="s">
        <v>369</v>
      </c>
      <c r="G130" s="10" t="s">
        <v>18</v>
      </c>
      <c r="H130" s="11">
        <v>24</v>
      </c>
      <c r="I130" s="12">
        <v>267427</v>
      </c>
      <c r="J130" s="11">
        <v>0</v>
      </c>
      <c r="K130" s="12">
        <v>0</v>
      </c>
      <c r="L130" s="11">
        <v>0</v>
      </c>
      <c r="M130" s="12">
        <v>0</v>
      </c>
      <c r="N130" s="11">
        <v>24</v>
      </c>
      <c r="O130">
        <f>IF(D130="","",SUMIF([1]Sheet1!$B$9:$B$1040,D130,[1]Sheet1!$N$9:$N$1040))</f>
        <v>24</v>
      </c>
      <c r="P130" s="12">
        <v>267427</v>
      </c>
      <c r="Q130" s="10"/>
    </row>
    <row r="131" spans="1:17" ht="27.6" hidden="1" customHeight="1" x14ac:dyDescent="0.25">
      <c r="A131" s="10" t="s">
        <v>179</v>
      </c>
      <c r="B131" s="10" t="s">
        <v>180</v>
      </c>
      <c r="C131" s="10" t="s">
        <v>370</v>
      </c>
      <c r="D131" s="3" t="s">
        <v>371</v>
      </c>
      <c r="F131" s="10" t="s">
        <v>372</v>
      </c>
      <c r="G131" s="10" t="s">
        <v>18</v>
      </c>
      <c r="H131" s="11">
        <v>128</v>
      </c>
      <c r="I131" s="12">
        <v>1506032</v>
      </c>
      <c r="J131" s="11">
        <v>0</v>
      </c>
      <c r="K131" s="12">
        <v>0</v>
      </c>
      <c r="L131" s="11">
        <v>0</v>
      </c>
      <c r="M131" s="12">
        <v>0</v>
      </c>
      <c r="N131" s="11">
        <v>128</v>
      </c>
      <c r="O131">
        <f>IF(D131="","",SUMIF([1]Sheet1!$B$9:$B$1040,D131,[1]Sheet1!$N$9:$N$1040))</f>
        <v>141</v>
      </c>
      <c r="P131" s="12">
        <v>1506032</v>
      </c>
      <c r="Q131" s="10"/>
    </row>
    <row r="132" spans="1:17" ht="27.6" hidden="1" customHeight="1" x14ac:dyDescent="0.25">
      <c r="A132" s="10" t="s">
        <v>179</v>
      </c>
      <c r="B132" s="10" t="s">
        <v>180</v>
      </c>
      <c r="C132" s="10" t="s">
        <v>373</v>
      </c>
      <c r="D132" s="3" t="s">
        <v>374</v>
      </c>
      <c r="F132" s="10" t="s">
        <v>375</v>
      </c>
      <c r="G132" s="10" t="s">
        <v>18</v>
      </c>
      <c r="H132" s="11">
        <v>37</v>
      </c>
      <c r="I132" s="12">
        <v>409501</v>
      </c>
      <c r="J132" s="11">
        <v>0</v>
      </c>
      <c r="K132" s="12">
        <v>0</v>
      </c>
      <c r="L132" s="11">
        <v>0</v>
      </c>
      <c r="M132" s="12">
        <v>0</v>
      </c>
      <c r="N132" s="11">
        <v>37</v>
      </c>
      <c r="O132">
        <f>IF(D132="","",SUMIF([1]Sheet1!$B$9:$B$1040,D132,[1]Sheet1!$N$9:$N$1040))</f>
        <v>36</v>
      </c>
      <c r="P132" s="12">
        <v>409501</v>
      </c>
      <c r="Q132" s="10"/>
    </row>
    <row r="133" spans="1:17" ht="27.6" hidden="1" customHeight="1" x14ac:dyDescent="0.25">
      <c r="A133" s="10" t="s">
        <v>179</v>
      </c>
      <c r="B133" s="10" t="s">
        <v>180</v>
      </c>
      <c r="C133" s="10" t="s">
        <v>376</v>
      </c>
      <c r="D133" s="3" t="s">
        <v>377</v>
      </c>
      <c r="F133" s="10" t="s">
        <v>378</v>
      </c>
      <c r="G133" s="10" t="s">
        <v>18</v>
      </c>
      <c r="H133" s="11">
        <v>6</v>
      </c>
      <c r="I133" s="12">
        <v>63872</v>
      </c>
      <c r="J133" s="11">
        <v>0</v>
      </c>
      <c r="K133" s="12">
        <v>0</v>
      </c>
      <c r="L133" s="11">
        <v>0</v>
      </c>
      <c r="M133" s="12">
        <v>0</v>
      </c>
      <c r="N133" s="11">
        <v>6</v>
      </c>
      <c r="O133">
        <f>IF(D133="","",SUMIF([1]Sheet1!$B$9:$B$1040,D133,[1]Sheet1!$N$9:$N$1040))</f>
        <v>0</v>
      </c>
      <c r="P133" s="12">
        <v>63872</v>
      </c>
      <c r="Q133" s="10"/>
    </row>
    <row r="134" spans="1:17" ht="27.6" hidden="1" customHeight="1" x14ac:dyDescent="0.25">
      <c r="A134" s="10" t="s">
        <v>179</v>
      </c>
      <c r="B134" s="10" t="s">
        <v>180</v>
      </c>
      <c r="C134" s="10" t="s">
        <v>379</v>
      </c>
      <c r="D134" s="3" t="s">
        <v>380</v>
      </c>
      <c r="F134" s="10" t="s">
        <v>381</v>
      </c>
      <c r="G134" s="10" t="s">
        <v>18</v>
      </c>
      <c r="H134" s="11">
        <v>28</v>
      </c>
      <c r="I134" s="12">
        <v>297828</v>
      </c>
      <c r="J134" s="11">
        <v>0</v>
      </c>
      <c r="K134" s="12">
        <v>0</v>
      </c>
      <c r="L134" s="11">
        <v>0</v>
      </c>
      <c r="M134" s="12">
        <v>0</v>
      </c>
      <c r="N134" s="11">
        <v>28</v>
      </c>
      <c r="O134">
        <f>IF(D134="","",SUMIF([1]Sheet1!$B$9:$B$1040,D134,[1]Sheet1!$N$9:$N$1040))</f>
        <v>14</v>
      </c>
      <c r="P134" s="12">
        <v>297828</v>
      </c>
      <c r="Q134" s="10"/>
    </row>
    <row r="135" spans="1:17" ht="27.6" hidden="1" customHeight="1" x14ac:dyDescent="0.25">
      <c r="A135" s="10" t="s">
        <v>179</v>
      </c>
      <c r="B135" s="10" t="s">
        <v>180</v>
      </c>
      <c r="C135" s="10" t="s">
        <v>382</v>
      </c>
      <c r="D135" s="3" t="s">
        <v>383</v>
      </c>
      <c r="F135" s="10" t="s">
        <v>384</v>
      </c>
      <c r="G135" s="10" t="s">
        <v>18</v>
      </c>
      <c r="H135" s="11">
        <v>50</v>
      </c>
      <c r="I135" s="12">
        <v>553380</v>
      </c>
      <c r="J135" s="11">
        <v>0</v>
      </c>
      <c r="K135" s="12">
        <v>0</v>
      </c>
      <c r="L135" s="11">
        <v>0</v>
      </c>
      <c r="M135" s="12">
        <v>0</v>
      </c>
      <c r="N135" s="11">
        <v>50</v>
      </c>
      <c r="O135">
        <f>IF(D135="","",SUMIF([1]Sheet1!$B$9:$B$1040,D135,[1]Sheet1!$N$9:$N$1040))</f>
        <v>50</v>
      </c>
      <c r="P135" s="12">
        <v>553380</v>
      </c>
      <c r="Q135" s="10"/>
    </row>
    <row r="136" spans="1:17" ht="27.6" hidden="1" customHeight="1" x14ac:dyDescent="0.25">
      <c r="A136" s="10" t="s">
        <v>179</v>
      </c>
      <c r="B136" s="10" t="s">
        <v>180</v>
      </c>
      <c r="C136" s="10" t="s">
        <v>385</v>
      </c>
      <c r="D136" s="3" t="s">
        <v>386</v>
      </c>
      <c r="F136" s="10" t="s">
        <v>387</v>
      </c>
      <c r="G136" s="10" t="s">
        <v>18</v>
      </c>
      <c r="H136" s="11">
        <v>2</v>
      </c>
      <c r="I136" s="12">
        <v>21225</v>
      </c>
      <c r="J136" s="11">
        <v>0</v>
      </c>
      <c r="K136" s="12">
        <v>0</v>
      </c>
      <c r="L136" s="11">
        <v>0</v>
      </c>
      <c r="M136" s="12">
        <v>0</v>
      </c>
      <c r="N136" s="11">
        <v>2</v>
      </c>
      <c r="O136">
        <f>IF(D136="","",SUMIF([1]Sheet1!$B$9:$B$1040,D136,[1]Sheet1!$N$9:$N$1040))</f>
        <v>12</v>
      </c>
      <c r="P136" s="12">
        <v>21225</v>
      </c>
      <c r="Q136" s="10"/>
    </row>
    <row r="137" spans="1:17" ht="27.6" hidden="1" customHeight="1" x14ac:dyDescent="0.25">
      <c r="A137" s="10" t="s">
        <v>179</v>
      </c>
      <c r="B137" s="10" t="s">
        <v>180</v>
      </c>
      <c r="C137" s="10" t="s">
        <v>388</v>
      </c>
      <c r="D137" s="3" t="s">
        <v>389</v>
      </c>
      <c r="F137" s="10" t="s">
        <v>390</v>
      </c>
      <c r="G137" s="10" t="s">
        <v>18</v>
      </c>
      <c r="H137" s="11">
        <v>207</v>
      </c>
      <c r="I137" s="12">
        <v>2156904</v>
      </c>
      <c r="J137" s="11">
        <v>0</v>
      </c>
      <c r="K137" s="12">
        <v>0</v>
      </c>
      <c r="L137" s="11">
        <v>0</v>
      </c>
      <c r="M137" s="12">
        <v>0</v>
      </c>
      <c r="N137" s="11">
        <v>207</v>
      </c>
      <c r="O137">
        <f>IF(D137="","",SUMIF([1]Sheet1!$B$9:$B$1040,D137,[1]Sheet1!$N$9:$N$1040))</f>
        <v>206</v>
      </c>
      <c r="P137" s="12">
        <v>2156904</v>
      </c>
      <c r="Q137" s="10"/>
    </row>
    <row r="138" spans="1:17" ht="27.6" hidden="1" customHeight="1" x14ac:dyDescent="0.25">
      <c r="A138" s="10" t="s">
        <v>179</v>
      </c>
      <c r="B138" s="10" t="s">
        <v>180</v>
      </c>
      <c r="C138" s="10" t="s">
        <v>391</v>
      </c>
      <c r="D138" s="3" t="s">
        <v>392</v>
      </c>
      <c r="F138" s="10" t="s">
        <v>393</v>
      </c>
      <c r="G138" s="10" t="s">
        <v>18</v>
      </c>
      <c r="H138" s="11">
        <v>36</v>
      </c>
      <c r="I138" s="12">
        <v>398433</v>
      </c>
      <c r="J138" s="11">
        <v>0</v>
      </c>
      <c r="K138" s="12">
        <v>0</v>
      </c>
      <c r="L138" s="11">
        <v>0</v>
      </c>
      <c r="M138" s="12">
        <v>0</v>
      </c>
      <c r="N138" s="11">
        <v>36</v>
      </c>
      <c r="O138">
        <f>IF(D138="","",SUMIF([1]Sheet1!$B$9:$B$1040,D138,[1]Sheet1!$N$9:$N$1040))</f>
        <v>45</v>
      </c>
      <c r="P138" s="12">
        <v>398433</v>
      </c>
      <c r="Q138" s="10"/>
    </row>
    <row r="139" spans="1:17" ht="27.6" hidden="1" customHeight="1" x14ac:dyDescent="0.25">
      <c r="A139" s="10" t="s">
        <v>179</v>
      </c>
      <c r="B139" s="10" t="s">
        <v>180</v>
      </c>
      <c r="C139" s="10" t="s">
        <v>394</v>
      </c>
      <c r="D139" s="3" t="s">
        <v>395</v>
      </c>
      <c r="F139" s="10" t="s">
        <v>396</v>
      </c>
      <c r="G139" s="10" t="s">
        <v>18</v>
      </c>
      <c r="H139" s="11">
        <v>278</v>
      </c>
      <c r="I139" s="12">
        <v>2757732</v>
      </c>
      <c r="J139" s="11">
        <v>0</v>
      </c>
      <c r="K139" s="12">
        <v>0</v>
      </c>
      <c r="L139" s="11">
        <v>0</v>
      </c>
      <c r="M139" s="12">
        <v>0</v>
      </c>
      <c r="N139" s="11">
        <v>278</v>
      </c>
      <c r="O139">
        <f>IF(D139="","",SUMIF([1]Sheet1!$B$9:$B$1040,D139,[1]Sheet1!$N$9:$N$1040))</f>
        <v>267</v>
      </c>
      <c r="P139" s="12">
        <v>2757732</v>
      </c>
      <c r="Q139" s="10"/>
    </row>
    <row r="140" spans="1:17" ht="27.6" hidden="1" customHeight="1" x14ac:dyDescent="0.25">
      <c r="A140" s="10" t="s">
        <v>179</v>
      </c>
      <c r="B140" s="10" t="s">
        <v>180</v>
      </c>
      <c r="C140" s="10" t="s">
        <v>397</v>
      </c>
      <c r="D140" s="3" t="s">
        <v>398</v>
      </c>
      <c r="F140" s="10" t="s">
        <v>399</v>
      </c>
      <c r="G140" s="10" t="s">
        <v>18</v>
      </c>
      <c r="H140" s="11">
        <v>9</v>
      </c>
      <c r="I140" s="12">
        <v>95510</v>
      </c>
      <c r="J140" s="11">
        <v>0</v>
      </c>
      <c r="K140" s="12">
        <v>0</v>
      </c>
      <c r="L140" s="11">
        <v>0</v>
      </c>
      <c r="M140" s="12">
        <v>0</v>
      </c>
      <c r="N140" s="11">
        <v>9</v>
      </c>
      <c r="O140">
        <f>IF(D140="","",SUMIF([1]Sheet1!$B$9:$B$1040,D140,[1]Sheet1!$N$9:$N$1040))</f>
        <v>9</v>
      </c>
      <c r="P140" s="12">
        <v>95510</v>
      </c>
      <c r="Q140" s="10"/>
    </row>
    <row r="141" spans="1:17" ht="41.4" x14ac:dyDescent="0.25">
      <c r="A141" s="10" t="s">
        <v>400</v>
      </c>
      <c r="B141" s="10" t="s">
        <v>401</v>
      </c>
      <c r="C141" s="10" t="s">
        <v>402</v>
      </c>
      <c r="D141" s="3" t="s">
        <v>403</v>
      </c>
      <c r="E141" s="3" t="s">
        <v>403</v>
      </c>
      <c r="F141" s="10" t="s">
        <v>404</v>
      </c>
      <c r="G141" s="10" t="s">
        <v>18</v>
      </c>
      <c r="H141" s="11">
        <v>1</v>
      </c>
      <c r="I141" s="12">
        <v>1200000</v>
      </c>
      <c r="J141" s="11">
        <v>0</v>
      </c>
      <c r="K141" s="12">
        <v>0</v>
      </c>
      <c r="L141" s="11">
        <v>0</v>
      </c>
      <c r="M141" s="12">
        <v>0</v>
      </c>
      <c r="N141" s="11">
        <v>1</v>
      </c>
      <c r="O141">
        <f>IF(D141="","",SUMIF([1]Sheet1!$B$9:$B$1040,D141,[1]Sheet1!$N$9:$N$1040))</f>
        <v>0</v>
      </c>
      <c r="P141" s="12">
        <v>1200000</v>
      </c>
      <c r="Q141" s="10"/>
    </row>
    <row r="142" spans="1:17" ht="41.4" x14ac:dyDescent="0.25">
      <c r="A142" s="10" t="s">
        <v>400</v>
      </c>
      <c r="B142" s="10" t="s">
        <v>401</v>
      </c>
      <c r="C142" s="10" t="s">
        <v>405</v>
      </c>
      <c r="D142" s="3" t="s">
        <v>406</v>
      </c>
      <c r="E142" s="3" t="s">
        <v>406</v>
      </c>
      <c r="F142" s="10" t="s">
        <v>407</v>
      </c>
      <c r="G142" s="10" t="s">
        <v>18</v>
      </c>
      <c r="H142" s="11">
        <v>11</v>
      </c>
      <c r="I142" s="12">
        <v>18381000</v>
      </c>
      <c r="J142" s="11">
        <v>0</v>
      </c>
      <c r="K142" s="12">
        <v>0</v>
      </c>
      <c r="L142" s="11">
        <v>0</v>
      </c>
      <c r="M142" s="12">
        <v>0</v>
      </c>
      <c r="N142" s="11">
        <v>11</v>
      </c>
      <c r="O142">
        <f>IF(D142="","",SUMIF([1]Sheet1!$B$9:$B$1040,D142,[1]Sheet1!$N$9:$N$1040))</f>
        <v>25</v>
      </c>
      <c r="P142" s="12">
        <v>18381000</v>
      </c>
      <c r="Q142" s="10"/>
    </row>
    <row r="143" spans="1:17" ht="55.2" hidden="1" x14ac:dyDescent="0.25">
      <c r="A143" s="10" t="s">
        <v>400</v>
      </c>
      <c r="B143" s="10" t="s">
        <v>401</v>
      </c>
      <c r="C143" s="10" t="s">
        <v>408</v>
      </c>
      <c r="D143" s="3" t="s">
        <v>99</v>
      </c>
      <c r="F143" s="10" t="s">
        <v>409</v>
      </c>
      <c r="G143" s="10" t="s">
        <v>32</v>
      </c>
      <c r="H143" s="11">
        <v>58</v>
      </c>
      <c r="I143" s="12">
        <v>100064356</v>
      </c>
      <c r="J143" s="11">
        <v>0</v>
      </c>
      <c r="K143" s="12">
        <v>0</v>
      </c>
      <c r="L143" s="11">
        <v>0</v>
      </c>
      <c r="M143" s="12">
        <v>0</v>
      </c>
      <c r="N143" s="11">
        <v>58</v>
      </c>
      <c r="O143">
        <f>IF(D143="","",SUMIF([1]Sheet1!$B$9:$B$1040,D143,[1]Sheet1!$N$9:$N$1040))</f>
        <v>591</v>
      </c>
      <c r="P143" s="12">
        <v>100064356</v>
      </c>
      <c r="Q143" s="10"/>
    </row>
    <row r="144" spans="1:17" ht="41.4" x14ac:dyDescent="0.25">
      <c r="A144" s="10" t="s">
        <v>400</v>
      </c>
      <c r="B144" s="10" t="s">
        <v>401</v>
      </c>
      <c r="C144" s="10" t="s">
        <v>410</v>
      </c>
      <c r="D144" s="3" t="s">
        <v>411</v>
      </c>
      <c r="E144" s="3" t="s">
        <v>411</v>
      </c>
      <c r="F144" s="10" t="s">
        <v>412</v>
      </c>
      <c r="G144" s="10" t="s">
        <v>18</v>
      </c>
      <c r="H144" s="11">
        <v>28</v>
      </c>
      <c r="I144" s="12">
        <v>28196000</v>
      </c>
      <c r="J144" s="11">
        <v>0</v>
      </c>
      <c r="K144" s="12">
        <v>0</v>
      </c>
      <c r="L144" s="11">
        <v>0</v>
      </c>
      <c r="M144" s="12">
        <v>0</v>
      </c>
      <c r="N144" s="11">
        <v>28</v>
      </c>
      <c r="O144">
        <f>IF(D144="","",SUMIF([1]Sheet1!$B$9:$B$1040,D144,[1]Sheet1!$N$9:$N$1040))</f>
        <v>385</v>
      </c>
      <c r="P144" s="12">
        <v>28196000</v>
      </c>
      <c r="Q144" s="10"/>
    </row>
    <row r="145" spans="1:17" ht="27.6" customHeight="1" x14ac:dyDescent="0.25">
      <c r="A145" s="10" t="s">
        <v>400</v>
      </c>
      <c r="B145" s="10" t="s">
        <v>401</v>
      </c>
      <c r="C145" s="10" t="s">
        <v>413</v>
      </c>
      <c r="D145" s="3" t="s">
        <v>414</v>
      </c>
      <c r="E145" s="3" t="s">
        <v>619</v>
      </c>
      <c r="F145" s="10" t="s">
        <v>415</v>
      </c>
      <c r="G145" s="10" t="s">
        <v>18</v>
      </c>
      <c r="H145" s="11">
        <v>59</v>
      </c>
      <c r="I145" s="12">
        <v>75487474</v>
      </c>
      <c r="J145" s="11">
        <v>0</v>
      </c>
      <c r="K145" s="12">
        <v>0</v>
      </c>
      <c r="L145" s="11">
        <v>0</v>
      </c>
      <c r="M145" s="12">
        <v>0</v>
      </c>
      <c r="N145" s="11">
        <v>59</v>
      </c>
      <c r="O145">
        <f>IF(D145="","",SUMIF([1]Sheet1!$B$9:$B$1040,D145,[1]Sheet1!$N$9:$N$1040))</f>
        <v>53</v>
      </c>
      <c r="P145" s="12">
        <v>75487474</v>
      </c>
      <c r="Q145" s="10"/>
    </row>
    <row r="146" spans="1:17" ht="69" hidden="1" x14ac:dyDescent="0.25">
      <c r="A146" s="10" t="s">
        <v>400</v>
      </c>
      <c r="B146" s="10" t="s">
        <v>401</v>
      </c>
      <c r="C146" s="10" t="s">
        <v>416</v>
      </c>
      <c r="D146" s="3" t="s">
        <v>417</v>
      </c>
      <c r="F146" s="10" t="s">
        <v>418</v>
      </c>
      <c r="G146" s="10" t="s">
        <v>18</v>
      </c>
      <c r="H146" s="11">
        <v>3</v>
      </c>
      <c r="I146" s="12">
        <v>4230000</v>
      </c>
      <c r="J146" s="11">
        <v>0</v>
      </c>
      <c r="K146" s="12">
        <v>0</v>
      </c>
      <c r="L146" s="11">
        <v>0</v>
      </c>
      <c r="M146" s="12">
        <v>0</v>
      </c>
      <c r="N146" s="11">
        <v>3</v>
      </c>
      <c r="O146">
        <f>IF(D146="","",SUMIF([1]Sheet1!$B$9:$B$1040,D146,[1]Sheet1!$N$9:$N$1040))</f>
        <v>0</v>
      </c>
      <c r="P146" s="12">
        <v>4230000</v>
      </c>
      <c r="Q146" s="10"/>
    </row>
    <row r="147" spans="1:17" ht="69" hidden="1" x14ac:dyDescent="0.25">
      <c r="A147" s="10" t="s">
        <v>419</v>
      </c>
      <c r="B147" s="10" t="s">
        <v>420</v>
      </c>
      <c r="C147" s="10" t="s">
        <v>421</v>
      </c>
      <c r="D147" t="s">
        <v>421</v>
      </c>
      <c r="E147"/>
      <c r="F147" s="10" t="s">
        <v>422</v>
      </c>
      <c r="G147" s="10" t="s">
        <v>423</v>
      </c>
      <c r="H147" s="11">
        <v>26</v>
      </c>
      <c r="I147" s="12">
        <v>22465675</v>
      </c>
      <c r="J147" s="11">
        <v>0</v>
      </c>
      <c r="K147" s="12">
        <v>0</v>
      </c>
      <c r="L147" s="11">
        <v>0</v>
      </c>
      <c r="M147" s="12">
        <v>0</v>
      </c>
      <c r="N147" s="11">
        <v>26</v>
      </c>
      <c r="O147">
        <f>IF(D147="","",SUMIF([1]Sheet1!$B$9:$B$1040,D147,[1]Sheet1!$N$9:$N$1040))</f>
        <v>29</v>
      </c>
      <c r="P147" s="12">
        <v>22465675</v>
      </c>
      <c r="Q147" s="10"/>
    </row>
    <row r="148" spans="1:17" ht="69" hidden="1" x14ac:dyDescent="0.25">
      <c r="A148" s="10" t="s">
        <v>419</v>
      </c>
      <c r="B148" s="10" t="s">
        <v>420</v>
      </c>
      <c r="C148" s="10" t="s">
        <v>424</v>
      </c>
      <c r="D148" t="s">
        <v>424</v>
      </c>
      <c r="E148"/>
      <c r="F148" s="10" t="s">
        <v>425</v>
      </c>
      <c r="G148" s="10" t="s">
        <v>423</v>
      </c>
      <c r="H148" s="11">
        <v>5</v>
      </c>
      <c r="I148" s="12">
        <v>4263422</v>
      </c>
      <c r="J148" s="11">
        <v>0</v>
      </c>
      <c r="K148" s="12">
        <v>0</v>
      </c>
      <c r="L148" s="11">
        <v>0</v>
      </c>
      <c r="M148" s="12">
        <v>0</v>
      </c>
      <c r="N148" s="11">
        <v>5</v>
      </c>
      <c r="O148">
        <f>IF(D148="","",SUMIF([1]Sheet1!$B$9:$B$1040,D148,[1]Sheet1!$N$9:$N$1040))</f>
        <v>4</v>
      </c>
      <c r="P148" s="12">
        <v>4263422</v>
      </c>
      <c r="Q148" s="10"/>
    </row>
    <row r="149" spans="1:17" ht="55.2" hidden="1" x14ac:dyDescent="0.25">
      <c r="A149" s="10" t="s">
        <v>419</v>
      </c>
      <c r="B149" s="10" t="s">
        <v>420</v>
      </c>
      <c r="C149" s="10" t="s">
        <v>426</v>
      </c>
      <c r="D149" t="s">
        <v>426</v>
      </c>
      <c r="E149"/>
      <c r="F149" s="10" t="s">
        <v>427</v>
      </c>
      <c r="G149" s="10" t="s">
        <v>423</v>
      </c>
      <c r="H149" s="11">
        <v>5</v>
      </c>
      <c r="I149" s="12">
        <v>4263422</v>
      </c>
      <c r="J149" s="11">
        <v>0</v>
      </c>
      <c r="K149" s="12">
        <v>0</v>
      </c>
      <c r="L149" s="11">
        <v>0</v>
      </c>
      <c r="M149" s="12">
        <v>0</v>
      </c>
      <c r="N149" s="11">
        <v>5</v>
      </c>
      <c r="O149">
        <f>IF(D149="","",SUMIF([1]Sheet1!$B$9:$B$1040,D149,[1]Sheet1!$N$9:$N$1040))</f>
        <v>5</v>
      </c>
      <c r="P149" s="12">
        <v>4263422</v>
      </c>
      <c r="Q149" s="10"/>
    </row>
    <row r="150" spans="1:17" ht="55.2" hidden="1" x14ac:dyDescent="0.25">
      <c r="A150" s="10" t="s">
        <v>419</v>
      </c>
      <c r="B150" s="10" t="s">
        <v>420</v>
      </c>
      <c r="C150" s="10" t="s">
        <v>428</v>
      </c>
      <c r="D150" t="s">
        <v>428</v>
      </c>
      <c r="E150"/>
      <c r="F150" s="10" t="s">
        <v>429</v>
      </c>
      <c r="G150" s="10" t="s">
        <v>423</v>
      </c>
      <c r="H150" s="11">
        <v>27</v>
      </c>
      <c r="I150" s="12">
        <v>32889257</v>
      </c>
      <c r="J150" s="11">
        <v>0</v>
      </c>
      <c r="K150" s="12">
        <v>0</v>
      </c>
      <c r="L150" s="11">
        <v>0</v>
      </c>
      <c r="M150" s="12">
        <v>0</v>
      </c>
      <c r="N150" s="11">
        <v>27</v>
      </c>
      <c r="O150">
        <f>IF(D150="","",SUMIF([1]Sheet1!$B$9:$B$1040,D150,[1]Sheet1!$N$9:$N$1040))</f>
        <v>29</v>
      </c>
      <c r="P150" s="12">
        <v>32889257</v>
      </c>
      <c r="Q150" s="10"/>
    </row>
    <row r="151" spans="1:17" ht="69" hidden="1" x14ac:dyDescent="0.25">
      <c r="A151" s="10" t="s">
        <v>419</v>
      </c>
      <c r="B151" s="10" t="s">
        <v>420</v>
      </c>
      <c r="C151" s="10" t="s">
        <v>430</v>
      </c>
      <c r="D151" t="s">
        <v>430</v>
      </c>
      <c r="E151"/>
      <c r="F151" s="10" t="s">
        <v>431</v>
      </c>
      <c r="G151" s="10" t="s">
        <v>423</v>
      </c>
      <c r="H151" s="11">
        <v>29</v>
      </c>
      <c r="I151" s="12">
        <v>25057867</v>
      </c>
      <c r="J151" s="11">
        <v>0</v>
      </c>
      <c r="K151" s="12">
        <v>0</v>
      </c>
      <c r="L151" s="11">
        <v>0</v>
      </c>
      <c r="M151" s="12">
        <v>0</v>
      </c>
      <c r="N151" s="11">
        <v>29</v>
      </c>
      <c r="O151">
        <f>IF(D151="","",SUMIF([1]Sheet1!$B$9:$B$1040,D151,[1]Sheet1!$N$9:$N$1040))</f>
        <v>28</v>
      </c>
      <c r="P151" s="12">
        <v>25057867</v>
      </c>
      <c r="Q151" s="10"/>
    </row>
    <row r="152" spans="1:17" ht="69" hidden="1" x14ac:dyDescent="0.25">
      <c r="A152" s="10" t="s">
        <v>419</v>
      </c>
      <c r="B152" s="10" t="s">
        <v>420</v>
      </c>
      <c r="C152" s="10" t="s">
        <v>432</v>
      </c>
      <c r="D152" t="s">
        <v>432</v>
      </c>
      <c r="E152"/>
      <c r="F152" s="10" t="s">
        <v>433</v>
      </c>
      <c r="G152" s="10" t="s">
        <v>423</v>
      </c>
      <c r="H152" s="11">
        <v>11</v>
      </c>
      <c r="I152" s="12">
        <v>9504709</v>
      </c>
      <c r="J152" s="11">
        <v>0</v>
      </c>
      <c r="K152" s="12">
        <v>0</v>
      </c>
      <c r="L152" s="11">
        <v>0</v>
      </c>
      <c r="M152" s="12">
        <v>0</v>
      </c>
      <c r="N152" s="11">
        <v>11</v>
      </c>
      <c r="O152">
        <f>IF(D152="","",SUMIF([1]Sheet1!$B$9:$B$1040,D152,[1]Sheet1!$N$9:$N$1040))</f>
        <v>10</v>
      </c>
      <c r="P152" s="12">
        <v>9504709</v>
      </c>
      <c r="Q152" s="10"/>
    </row>
    <row r="153" spans="1:17" ht="69" hidden="1" x14ac:dyDescent="0.25">
      <c r="A153" s="10" t="s">
        <v>419</v>
      </c>
      <c r="B153" s="10" t="s">
        <v>420</v>
      </c>
      <c r="C153" s="10" t="s">
        <v>434</v>
      </c>
      <c r="D153" t="s">
        <v>434</v>
      </c>
      <c r="E153"/>
      <c r="F153" s="10" t="s">
        <v>435</v>
      </c>
      <c r="G153" s="10" t="s">
        <v>423</v>
      </c>
      <c r="H153" s="11">
        <v>10</v>
      </c>
      <c r="I153" s="12">
        <v>8640645</v>
      </c>
      <c r="J153" s="11">
        <v>0</v>
      </c>
      <c r="K153" s="12">
        <v>0</v>
      </c>
      <c r="L153" s="11">
        <v>0</v>
      </c>
      <c r="M153" s="12">
        <v>0</v>
      </c>
      <c r="N153" s="11">
        <v>10</v>
      </c>
      <c r="O153">
        <f>IF(D153="","",SUMIF([1]Sheet1!$B$9:$B$1040,D153,[1]Sheet1!$N$9:$N$1040))</f>
        <v>8</v>
      </c>
      <c r="P153" s="12">
        <v>8640645</v>
      </c>
      <c r="Q153" s="10"/>
    </row>
    <row r="154" spans="1:17" ht="69" hidden="1" x14ac:dyDescent="0.25">
      <c r="A154" s="10" t="s">
        <v>419</v>
      </c>
      <c r="B154" s="10" t="s">
        <v>420</v>
      </c>
      <c r="C154" s="10" t="s">
        <v>436</v>
      </c>
      <c r="D154" t="s">
        <v>436</v>
      </c>
      <c r="E154"/>
      <c r="F154" s="10" t="s">
        <v>437</v>
      </c>
      <c r="G154" s="10" t="s">
        <v>423</v>
      </c>
      <c r="H154" s="11">
        <v>28</v>
      </c>
      <c r="I154" s="12">
        <v>24193803</v>
      </c>
      <c r="J154" s="11">
        <v>0</v>
      </c>
      <c r="K154" s="12">
        <v>0</v>
      </c>
      <c r="L154" s="11">
        <v>0</v>
      </c>
      <c r="M154" s="12">
        <v>0</v>
      </c>
      <c r="N154" s="11">
        <v>28</v>
      </c>
      <c r="O154">
        <f>IF(D154="","",SUMIF([1]Sheet1!$B$9:$B$1040,D154,[1]Sheet1!$N$9:$N$1040))</f>
        <v>26</v>
      </c>
      <c r="P154" s="12">
        <v>24193803</v>
      </c>
      <c r="Q154" s="10"/>
    </row>
    <row r="155" spans="1:17" ht="55.2" hidden="1" x14ac:dyDescent="0.25">
      <c r="A155" s="10" t="s">
        <v>419</v>
      </c>
      <c r="B155" s="10" t="s">
        <v>420</v>
      </c>
      <c r="C155" s="10" t="s">
        <v>438</v>
      </c>
      <c r="D155" t="s">
        <v>438</v>
      </c>
      <c r="E155"/>
      <c r="F155" s="10" t="s">
        <v>439</v>
      </c>
      <c r="G155" s="10" t="s">
        <v>423</v>
      </c>
      <c r="H155" s="11">
        <v>28</v>
      </c>
      <c r="I155" s="12">
        <v>34107378</v>
      </c>
      <c r="J155" s="11">
        <v>0</v>
      </c>
      <c r="K155" s="12">
        <v>0</v>
      </c>
      <c r="L155" s="11">
        <v>0</v>
      </c>
      <c r="M155" s="12">
        <v>0</v>
      </c>
      <c r="N155" s="11">
        <v>28</v>
      </c>
      <c r="O155">
        <f>IF(D155="","",SUMIF([1]Sheet1!$B$9:$B$1040,D155,[1]Sheet1!$N$9:$N$1040))</f>
        <v>26</v>
      </c>
      <c r="P155" s="12">
        <v>34107378</v>
      </c>
      <c r="Q155" s="10"/>
    </row>
    <row r="156" spans="1:17" ht="55.2" hidden="1" x14ac:dyDescent="0.25">
      <c r="A156" s="10" t="s">
        <v>419</v>
      </c>
      <c r="B156" s="10" t="s">
        <v>420</v>
      </c>
      <c r="C156" s="10" t="s">
        <v>440</v>
      </c>
      <c r="D156" t="s">
        <v>440</v>
      </c>
      <c r="E156"/>
      <c r="F156" s="10" t="s">
        <v>441</v>
      </c>
      <c r="G156" s="10" t="s">
        <v>423</v>
      </c>
      <c r="H156" s="11">
        <v>26</v>
      </c>
      <c r="I156" s="12">
        <v>28418237</v>
      </c>
      <c r="J156" s="11">
        <v>0</v>
      </c>
      <c r="K156" s="12">
        <v>0</v>
      </c>
      <c r="L156" s="11">
        <v>0</v>
      </c>
      <c r="M156" s="12">
        <v>0</v>
      </c>
      <c r="N156" s="11">
        <v>26</v>
      </c>
      <c r="O156">
        <f>IF(D156="","",SUMIF([1]Sheet1!$B$9:$B$1040,D156,[1]Sheet1!$N$9:$N$1040))</f>
        <v>29</v>
      </c>
      <c r="P156" s="12">
        <v>28418237</v>
      </c>
      <c r="Q156" s="10"/>
    </row>
    <row r="157" spans="1:17" ht="55.2" hidden="1" x14ac:dyDescent="0.25">
      <c r="A157" s="10" t="s">
        <v>419</v>
      </c>
      <c r="B157" s="10" t="s">
        <v>420</v>
      </c>
      <c r="C157" s="10" t="s">
        <v>442</v>
      </c>
      <c r="D157" t="s">
        <v>442</v>
      </c>
      <c r="E157"/>
      <c r="F157" s="10" t="s">
        <v>443</v>
      </c>
      <c r="G157" s="10" t="s">
        <v>423</v>
      </c>
      <c r="H157" s="11">
        <v>5</v>
      </c>
      <c r="I157" s="12">
        <v>4263422</v>
      </c>
      <c r="J157" s="11">
        <v>0</v>
      </c>
      <c r="K157" s="12">
        <v>0</v>
      </c>
      <c r="L157" s="11">
        <v>0</v>
      </c>
      <c r="M157" s="12">
        <v>0</v>
      </c>
      <c r="N157" s="11">
        <v>5</v>
      </c>
      <c r="O157">
        <f>IF(D157="","",SUMIF([1]Sheet1!$B$9:$B$1040,D157,[1]Sheet1!$N$9:$N$1040))</f>
        <v>5</v>
      </c>
      <c r="P157" s="12">
        <v>4263422</v>
      </c>
      <c r="Q157" s="10"/>
    </row>
    <row r="158" spans="1:17" ht="55.2" hidden="1" x14ac:dyDescent="0.25">
      <c r="A158" s="10" t="s">
        <v>419</v>
      </c>
      <c r="B158" s="10" t="s">
        <v>420</v>
      </c>
      <c r="C158" s="10" t="s">
        <v>444</v>
      </c>
      <c r="D158" t="s">
        <v>444</v>
      </c>
      <c r="E158"/>
      <c r="F158" s="10" t="s">
        <v>445</v>
      </c>
      <c r="G158" s="10" t="s">
        <v>423</v>
      </c>
      <c r="H158" s="11">
        <v>29</v>
      </c>
      <c r="I158" s="12">
        <v>24837855</v>
      </c>
      <c r="J158" s="11">
        <v>0</v>
      </c>
      <c r="K158" s="12">
        <v>0</v>
      </c>
      <c r="L158" s="11">
        <v>0</v>
      </c>
      <c r="M158" s="12">
        <v>0</v>
      </c>
      <c r="N158" s="11">
        <v>29</v>
      </c>
      <c r="O158">
        <f>IF(D158="","",SUMIF([1]Sheet1!$B$9:$B$1040,D158,[1]Sheet1!$N$9:$N$1040))</f>
        <v>29</v>
      </c>
      <c r="P158" s="12">
        <v>24837855</v>
      </c>
      <c r="Q158" s="10"/>
    </row>
    <row r="159" spans="1:17" ht="69" hidden="1" x14ac:dyDescent="0.25">
      <c r="A159" s="10" t="s">
        <v>419</v>
      </c>
      <c r="B159" s="10" t="s">
        <v>420</v>
      </c>
      <c r="C159" s="10" t="s">
        <v>446</v>
      </c>
      <c r="D159" t="s">
        <v>446</v>
      </c>
      <c r="E159"/>
      <c r="F159" s="10" t="s">
        <v>447</v>
      </c>
      <c r="G159" s="10" t="s">
        <v>423</v>
      </c>
      <c r="H159" s="11">
        <v>40</v>
      </c>
      <c r="I159" s="12">
        <v>34272025</v>
      </c>
      <c r="J159" s="11">
        <v>0</v>
      </c>
      <c r="K159" s="12">
        <v>0</v>
      </c>
      <c r="L159" s="11">
        <v>0</v>
      </c>
      <c r="M159" s="12">
        <v>0</v>
      </c>
      <c r="N159" s="11">
        <v>40</v>
      </c>
      <c r="O159">
        <f>IF(D159="","",SUMIF([1]Sheet1!$B$9:$B$1040,D159,[1]Sheet1!$N$9:$N$1040))</f>
        <v>40</v>
      </c>
      <c r="P159" s="12">
        <v>34272025</v>
      </c>
      <c r="Q159" s="10"/>
    </row>
    <row r="160" spans="1:17" ht="55.2" hidden="1" x14ac:dyDescent="0.25">
      <c r="A160" s="10" t="s">
        <v>419</v>
      </c>
      <c r="B160" s="10" t="s">
        <v>420</v>
      </c>
      <c r="C160" s="10" t="s">
        <v>448</v>
      </c>
      <c r="D160" t="s">
        <v>448</v>
      </c>
      <c r="E160"/>
      <c r="F160" s="10" t="s">
        <v>449</v>
      </c>
      <c r="G160" s="10" t="s">
        <v>423</v>
      </c>
      <c r="H160" s="11">
        <v>5</v>
      </c>
      <c r="I160" s="12">
        <v>6090603</v>
      </c>
      <c r="J160" s="11">
        <v>0</v>
      </c>
      <c r="K160" s="12">
        <v>0</v>
      </c>
      <c r="L160" s="11">
        <v>0</v>
      </c>
      <c r="M160" s="12">
        <v>0</v>
      </c>
      <c r="N160" s="11">
        <v>5</v>
      </c>
      <c r="O160">
        <f>IF(D160="","",SUMIF([1]Sheet1!$B$9:$B$1040,D160,[1]Sheet1!$N$9:$N$1040))</f>
        <v>4</v>
      </c>
      <c r="P160" s="12">
        <v>6090603</v>
      </c>
      <c r="Q160" s="10"/>
    </row>
    <row r="161" spans="1:17" ht="55.2" hidden="1" x14ac:dyDescent="0.25">
      <c r="A161" s="10" t="s">
        <v>419</v>
      </c>
      <c r="B161" s="10" t="s">
        <v>420</v>
      </c>
      <c r="C161" s="10" t="s">
        <v>450</v>
      </c>
      <c r="D161" t="s">
        <v>450</v>
      </c>
      <c r="E161"/>
      <c r="F161" s="10" t="s">
        <v>451</v>
      </c>
      <c r="G161" s="10" t="s">
        <v>423</v>
      </c>
      <c r="H161" s="11">
        <v>5</v>
      </c>
      <c r="I161" s="12">
        <v>4263422</v>
      </c>
      <c r="J161" s="11">
        <v>0</v>
      </c>
      <c r="K161" s="12">
        <v>0</v>
      </c>
      <c r="L161" s="11">
        <v>0</v>
      </c>
      <c r="M161" s="12">
        <v>0</v>
      </c>
      <c r="N161" s="11">
        <v>5</v>
      </c>
      <c r="O161">
        <f>IF(D161="","",SUMIF([1]Sheet1!$B$9:$B$1040,D161,[1]Sheet1!$N$9:$N$1040))</f>
        <v>5</v>
      </c>
      <c r="P161" s="12">
        <v>4263422</v>
      </c>
      <c r="Q161" s="10"/>
    </row>
    <row r="162" spans="1:17" ht="55.2" hidden="1" x14ac:dyDescent="0.25">
      <c r="A162" s="10" t="s">
        <v>419</v>
      </c>
      <c r="B162" s="10" t="s">
        <v>420</v>
      </c>
      <c r="C162" s="10" t="s">
        <v>452</v>
      </c>
      <c r="D162" t="s">
        <v>452</v>
      </c>
      <c r="E162"/>
      <c r="F162" s="10" t="s">
        <v>453</v>
      </c>
      <c r="G162" s="10" t="s">
        <v>423</v>
      </c>
      <c r="H162" s="11">
        <v>2</v>
      </c>
      <c r="I162" s="12">
        <v>2436241</v>
      </c>
      <c r="J162" s="11">
        <v>0</v>
      </c>
      <c r="K162" s="12">
        <v>0</v>
      </c>
      <c r="L162" s="11">
        <v>0</v>
      </c>
      <c r="M162" s="12">
        <v>0</v>
      </c>
      <c r="N162" s="11">
        <v>2</v>
      </c>
      <c r="O162">
        <f>IF(D162="","",SUMIF([1]Sheet1!$B$9:$B$1040,D162,[1]Sheet1!$N$9:$N$1040))</f>
        <v>3</v>
      </c>
      <c r="P162" s="12">
        <v>2436241</v>
      </c>
      <c r="Q162" s="10"/>
    </row>
    <row r="163" spans="1:17" ht="69" hidden="1" x14ac:dyDescent="0.25">
      <c r="A163" s="10" t="s">
        <v>419</v>
      </c>
      <c r="B163" s="10" t="s">
        <v>420</v>
      </c>
      <c r="C163" s="10" t="s">
        <v>454</v>
      </c>
      <c r="D163" t="s">
        <v>454</v>
      </c>
      <c r="E163"/>
      <c r="F163" s="10" t="s">
        <v>455</v>
      </c>
      <c r="G163" s="10" t="s">
        <v>423</v>
      </c>
      <c r="H163" s="11">
        <v>13</v>
      </c>
      <c r="I163" s="12">
        <v>15959871</v>
      </c>
      <c r="J163" s="11">
        <v>0</v>
      </c>
      <c r="K163" s="12">
        <v>0</v>
      </c>
      <c r="L163" s="11">
        <v>0</v>
      </c>
      <c r="M163" s="12">
        <v>0</v>
      </c>
      <c r="N163" s="11">
        <v>13</v>
      </c>
      <c r="O163">
        <f>IF(D163="","",SUMIF([1]Sheet1!$B$9:$B$1040,D163,[1]Sheet1!$N$9:$N$1040))</f>
        <v>14</v>
      </c>
      <c r="P163" s="12">
        <v>15959871</v>
      </c>
      <c r="Q163" s="10"/>
    </row>
    <row r="164" spans="1:17" ht="55.2" hidden="1" x14ac:dyDescent="0.25">
      <c r="A164" s="10" t="s">
        <v>419</v>
      </c>
      <c r="B164" s="10" t="s">
        <v>420</v>
      </c>
      <c r="C164" s="10" t="s">
        <v>456</v>
      </c>
      <c r="D164" t="s">
        <v>456</v>
      </c>
      <c r="E164"/>
      <c r="F164" s="10" t="s">
        <v>457</v>
      </c>
      <c r="G164" s="10" t="s">
        <v>423</v>
      </c>
      <c r="H164" s="11">
        <v>8</v>
      </c>
      <c r="I164" s="12">
        <v>6912510</v>
      </c>
      <c r="J164" s="11">
        <v>0</v>
      </c>
      <c r="K164" s="12">
        <v>0</v>
      </c>
      <c r="L164" s="11">
        <v>0</v>
      </c>
      <c r="M164" s="12">
        <v>0</v>
      </c>
      <c r="N164" s="11">
        <v>8</v>
      </c>
      <c r="O164">
        <f>IF(D164="","",SUMIF([1]Sheet1!$B$9:$B$1040,D164,[1]Sheet1!$N$9:$N$1040))</f>
        <v>8</v>
      </c>
      <c r="P164" s="12">
        <v>6912510</v>
      </c>
      <c r="Q164" s="10"/>
    </row>
    <row r="165" spans="1:17" ht="69" hidden="1" x14ac:dyDescent="0.25">
      <c r="A165" s="10" t="s">
        <v>419</v>
      </c>
      <c r="B165" s="10" t="s">
        <v>420</v>
      </c>
      <c r="C165" s="10" t="s">
        <v>458</v>
      </c>
      <c r="D165" t="s">
        <v>458</v>
      </c>
      <c r="E165"/>
      <c r="F165" s="10" t="s">
        <v>459</v>
      </c>
      <c r="G165" s="10" t="s">
        <v>423</v>
      </c>
      <c r="H165" s="11">
        <v>15</v>
      </c>
      <c r="I165" s="12">
        <v>18415238</v>
      </c>
      <c r="J165" s="11">
        <v>0</v>
      </c>
      <c r="K165" s="12">
        <v>0</v>
      </c>
      <c r="L165" s="11">
        <v>0</v>
      </c>
      <c r="M165" s="12">
        <v>0</v>
      </c>
      <c r="N165" s="11">
        <v>15</v>
      </c>
      <c r="O165">
        <f>IF(D165="","",SUMIF([1]Sheet1!$B$9:$B$1040,D165,[1]Sheet1!$N$9:$N$1040))</f>
        <v>26</v>
      </c>
      <c r="P165" s="12">
        <v>18415238</v>
      </c>
      <c r="Q165" s="10"/>
    </row>
    <row r="166" spans="1:17" ht="55.2" hidden="1" x14ac:dyDescent="0.25">
      <c r="A166" s="10" t="s">
        <v>419</v>
      </c>
      <c r="B166" s="10" t="s">
        <v>420</v>
      </c>
      <c r="C166" s="10" t="s">
        <v>460</v>
      </c>
      <c r="D166" t="s">
        <v>460</v>
      </c>
      <c r="E166"/>
      <c r="F166" s="10" t="s">
        <v>461</v>
      </c>
      <c r="G166" s="10" t="s">
        <v>423</v>
      </c>
      <c r="H166" s="11">
        <v>5</v>
      </c>
      <c r="I166" s="12">
        <v>4263422</v>
      </c>
      <c r="J166" s="11">
        <v>0</v>
      </c>
      <c r="K166" s="12">
        <v>0</v>
      </c>
      <c r="L166" s="11">
        <v>0</v>
      </c>
      <c r="M166" s="12">
        <v>0</v>
      </c>
      <c r="N166" s="11">
        <v>5</v>
      </c>
      <c r="O166">
        <f>IF(D166="","",SUMIF([1]Sheet1!$B$9:$B$1040,D166,[1]Sheet1!$N$9:$N$1040))</f>
        <v>5</v>
      </c>
      <c r="P166" s="12">
        <v>4263422</v>
      </c>
      <c r="Q166" s="10"/>
    </row>
    <row r="167" spans="1:17" ht="69" hidden="1" x14ac:dyDescent="0.25">
      <c r="A167" s="10" t="s">
        <v>419</v>
      </c>
      <c r="B167" s="10" t="s">
        <v>420</v>
      </c>
      <c r="C167" s="10" t="s">
        <v>462</v>
      </c>
      <c r="D167" t="s">
        <v>462</v>
      </c>
      <c r="E167"/>
      <c r="F167" s="10" t="s">
        <v>463</v>
      </c>
      <c r="G167" s="10" t="s">
        <v>423</v>
      </c>
      <c r="H167" s="11">
        <v>27</v>
      </c>
      <c r="I167" s="12">
        <v>23329739</v>
      </c>
      <c r="J167" s="11">
        <v>0</v>
      </c>
      <c r="K167" s="12">
        <v>0</v>
      </c>
      <c r="L167" s="11">
        <v>0</v>
      </c>
      <c r="M167" s="12">
        <v>0</v>
      </c>
      <c r="N167" s="11">
        <v>27</v>
      </c>
      <c r="O167">
        <f>IF(D167="","",SUMIF([1]Sheet1!$B$9:$B$1040,D167,[1]Sheet1!$N$9:$N$1040))</f>
        <v>28</v>
      </c>
      <c r="P167" s="12">
        <v>23329739</v>
      </c>
      <c r="Q167" s="10"/>
    </row>
    <row r="168" spans="1:17" ht="55.2" hidden="1" x14ac:dyDescent="0.25">
      <c r="A168" s="10" t="s">
        <v>419</v>
      </c>
      <c r="B168" s="10" t="s">
        <v>420</v>
      </c>
      <c r="C168" s="10" t="s">
        <v>464</v>
      </c>
      <c r="D168" t="s">
        <v>464</v>
      </c>
      <c r="E168"/>
      <c r="F168" s="10" t="s">
        <v>465</v>
      </c>
      <c r="G168" s="10" t="s">
        <v>423</v>
      </c>
      <c r="H168" s="11">
        <v>5</v>
      </c>
      <c r="I168" s="12">
        <v>6090603</v>
      </c>
      <c r="J168" s="11">
        <v>0</v>
      </c>
      <c r="K168" s="12">
        <v>0</v>
      </c>
      <c r="L168" s="11">
        <v>0</v>
      </c>
      <c r="M168" s="12">
        <v>0</v>
      </c>
      <c r="N168" s="11">
        <v>5</v>
      </c>
      <c r="O168">
        <f>IF(D168="","",SUMIF([1]Sheet1!$B$9:$B$1040,D168,[1]Sheet1!$N$9:$N$1040))</f>
        <v>5</v>
      </c>
      <c r="P168" s="12">
        <v>6090603</v>
      </c>
      <c r="Q168" s="10"/>
    </row>
    <row r="169" spans="1:17" ht="69" hidden="1" x14ac:dyDescent="0.25">
      <c r="A169" s="10" t="s">
        <v>419</v>
      </c>
      <c r="B169" s="10" t="s">
        <v>420</v>
      </c>
      <c r="C169" s="10" t="s">
        <v>466</v>
      </c>
      <c r="D169" t="s">
        <v>466</v>
      </c>
      <c r="E169"/>
      <c r="F169" s="10" t="s">
        <v>467</v>
      </c>
      <c r="G169" s="10" t="s">
        <v>423</v>
      </c>
      <c r="H169" s="11">
        <v>12</v>
      </c>
      <c r="I169" s="12">
        <v>13116109</v>
      </c>
      <c r="J169" s="11">
        <v>0</v>
      </c>
      <c r="K169" s="12">
        <v>0</v>
      </c>
      <c r="L169" s="11">
        <v>0</v>
      </c>
      <c r="M169" s="12">
        <v>0</v>
      </c>
      <c r="N169" s="11">
        <v>12</v>
      </c>
      <c r="O169">
        <f>IF(D169="","",SUMIF([1]Sheet1!$B$9:$B$1040,D169,[1]Sheet1!$N$9:$N$1040))</f>
        <v>11</v>
      </c>
      <c r="P169" s="12">
        <v>13116109</v>
      </c>
      <c r="Q169" s="10"/>
    </row>
    <row r="170" spans="1:17" ht="69" hidden="1" x14ac:dyDescent="0.25">
      <c r="A170" s="10" t="s">
        <v>419</v>
      </c>
      <c r="B170" s="10" t="s">
        <v>420</v>
      </c>
      <c r="C170" s="10" t="s">
        <v>468</v>
      </c>
      <c r="D170" t="s">
        <v>468</v>
      </c>
      <c r="E170"/>
      <c r="F170" s="10" t="s">
        <v>469</v>
      </c>
      <c r="G170" s="10" t="s">
        <v>423</v>
      </c>
      <c r="H170" s="11">
        <v>15</v>
      </c>
      <c r="I170" s="12">
        <v>16395136</v>
      </c>
      <c r="J170" s="11">
        <v>0</v>
      </c>
      <c r="K170" s="12">
        <v>0</v>
      </c>
      <c r="L170" s="11">
        <v>0</v>
      </c>
      <c r="M170" s="12">
        <v>0</v>
      </c>
      <c r="N170" s="11">
        <v>15</v>
      </c>
      <c r="O170">
        <f>IF(D170="","",SUMIF([1]Sheet1!$B$9:$B$1040,D170,[1]Sheet1!$N$9:$N$1040))</f>
        <v>15</v>
      </c>
      <c r="P170" s="12">
        <v>16395136</v>
      </c>
      <c r="Q170" s="10"/>
    </row>
    <row r="171" spans="1:17" ht="69" hidden="1" x14ac:dyDescent="0.25">
      <c r="A171" s="10" t="s">
        <v>419</v>
      </c>
      <c r="B171" s="10" t="s">
        <v>420</v>
      </c>
      <c r="C171" s="10" t="s">
        <v>470</v>
      </c>
      <c r="D171" t="s">
        <v>470</v>
      </c>
      <c r="E171"/>
      <c r="F171" s="10" t="s">
        <v>471</v>
      </c>
      <c r="G171" s="10" t="s">
        <v>423</v>
      </c>
      <c r="H171" s="11">
        <v>30</v>
      </c>
      <c r="I171" s="12">
        <v>32790273</v>
      </c>
      <c r="J171" s="11">
        <v>0</v>
      </c>
      <c r="K171" s="12">
        <v>0</v>
      </c>
      <c r="L171" s="11">
        <v>0</v>
      </c>
      <c r="M171" s="12">
        <v>0</v>
      </c>
      <c r="N171" s="11">
        <v>30</v>
      </c>
      <c r="O171">
        <f>IF(D171="","",SUMIF([1]Sheet1!$B$9:$B$1040,D171,[1]Sheet1!$N$9:$N$1040))</f>
        <v>31</v>
      </c>
      <c r="P171" s="12">
        <v>32790273</v>
      </c>
      <c r="Q171" s="10"/>
    </row>
    <row r="172" spans="1:17" ht="55.2" hidden="1" x14ac:dyDescent="0.25">
      <c r="A172" s="10" t="s">
        <v>419</v>
      </c>
      <c r="B172" s="10" t="s">
        <v>420</v>
      </c>
      <c r="C172" s="10" t="s">
        <v>472</v>
      </c>
      <c r="D172" t="s">
        <v>472</v>
      </c>
      <c r="E172"/>
      <c r="F172" s="10" t="s">
        <v>473</v>
      </c>
      <c r="G172" s="10" t="s">
        <v>423</v>
      </c>
      <c r="H172" s="11">
        <v>5</v>
      </c>
      <c r="I172" s="12">
        <v>4263422</v>
      </c>
      <c r="J172" s="11">
        <v>0</v>
      </c>
      <c r="K172" s="12">
        <v>0</v>
      </c>
      <c r="L172" s="11">
        <v>0</v>
      </c>
      <c r="M172" s="12">
        <v>0</v>
      </c>
      <c r="N172" s="11">
        <v>5</v>
      </c>
      <c r="O172">
        <f>IF(D172="","",SUMIF([1]Sheet1!$B$9:$B$1040,D172,[1]Sheet1!$N$9:$N$1040))</f>
        <v>5</v>
      </c>
      <c r="P172" s="12">
        <v>4263422</v>
      </c>
      <c r="Q172" s="10"/>
    </row>
    <row r="173" spans="1:17" ht="69" hidden="1" x14ac:dyDescent="0.25">
      <c r="A173" s="10" t="s">
        <v>419</v>
      </c>
      <c r="B173" s="10" t="s">
        <v>420</v>
      </c>
      <c r="C173" s="10" t="s">
        <v>474</v>
      </c>
      <c r="D173" t="s">
        <v>474</v>
      </c>
      <c r="E173"/>
      <c r="F173" s="10" t="s">
        <v>475</v>
      </c>
      <c r="G173" s="10" t="s">
        <v>423</v>
      </c>
      <c r="H173" s="11">
        <v>30</v>
      </c>
      <c r="I173" s="12">
        <v>25921931</v>
      </c>
      <c r="J173" s="11">
        <v>0</v>
      </c>
      <c r="K173" s="12">
        <v>0</v>
      </c>
      <c r="L173" s="11">
        <v>0</v>
      </c>
      <c r="M173" s="12">
        <v>0</v>
      </c>
      <c r="N173" s="11">
        <v>30</v>
      </c>
      <c r="O173">
        <f>IF(D173="","",SUMIF([1]Sheet1!$B$9:$B$1040,D173,[1]Sheet1!$N$9:$N$1040))</f>
        <v>30</v>
      </c>
      <c r="P173" s="12">
        <v>25921931</v>
      </c>
      <c r="Q173" s="10"/>
    </row>
    <row r="174" spans="1:17" ht="55.2" hidden="1" x14ac:dyDescent="0.25">
      <c r="A174" s="10" t="s">
        <v>419</v>
      </c>
      <c r="B174" s="10" t="s">
        <v>420</v>
      </c>
      <c r="C174" s="10" t="s">
        <v>476</v>
      </c>
      <c r="D174" t="s">
        <v>476</v>
      </c>
      <c r="E174"/>
      <c r="F174" s="10" t="s">
        <v>477</v>
      </c>
      <c r="G174" s="10" t="s">
        <v>423</v>
      </c>
      <c r="H174" s="11">
        <v>30</v>
      </c>
      <c r="I174" s="12">
        <v>25921931</v>
      </c>
      <c r="J174" s="11">
        <v>0</v>
      </c>
      <c r="K174" s="12">
        <v>0</v>
      </c>
      <c r="L174" s="11">
        <v>0</v>
      </c>
      <c r="M174" s="12">
        <v>0</v>
      </c>
      <c r="N174" s="11">
        <v>30</v>
      </c>
      <c r="O174">
        <f>IF(D174="","",SUMIF([1]Sheet1!$B$9:$B$1040,D174,[1]Sheet1!$N$9:$N$1040))</f>
        <v>30</v>
      </c>
      <c r="P174" s="12">
        <v>25921931</v>
      </c>
      <c r="Q174" s="10"/>
    </row>
    <row r="175" spans="1:17" ht="55.2" hidden="1" x14ac:dyDescent="0.25">
      <c r="A175" s="10" t="s">
        <v>419</v>
      </c>
      <c r="B175" s="10" t="s">
        <v>420</v>
      </c>
      <c r="C175" s="10" t="s">
        <v>478</v>
      </c>
      <c r="D175" t="s">
        <v>478</v>
      </c>
      <c r="E175"/>
      <c r="F175" s="10" t="s">
        <v>479</v>
      </c>
      <c r="G175" s="10" t="s">
        <v>423</v>
      </c>
      <c r="H175" s="11">
        <v>5</v>
      </c>
      <c r="I175" s="12">
        <v>6090607</v>
      </c>
      <c r="J175" s="11">
        <v>0</v>
      </c>
      <c r="K175" s="12">
        <v>0</v>
      </c>
      <c r="L175" s="11">
        <v>0</v>
      </c>
      <c r="M175" s="12">
        <v>0</v>
      </c>
      <c r="N175" s="11">
        <v>5</v>
      </c>
      <c r="O175">
        <f>IF(D175="","",SUMIF([1]Sheet1!$B$9:$B$1040,D175,[1]Sheet1!$N$9:$N$1040))</f>
        <v>5</v>
      </c>
      <c r="P175" s="12">
        <v>6090607</v>
      </c>
      <c r="Q175" s="10"/>
    </row>
    <row r="176" spans="1:17" ht="69" hidden="1" x14ac:dyDescent="0.25">
      <c r="A176" s="10" t="s">
        <v>419</v>
      </c>
      <c r="B176" s="10" t="s">
        <v>420</v>
      </c>
      <c r="C176" s="10" t="s">
        <v>480</v>
      </c>
      <c r="D176" t="s">
        <v>480</v>
      </c>
      <c r="E176"/>
      <c r="F176" s="10" t="s">
        <v>481</v>
      </c>
      <c r="G176" s="10" t="s">
        <v>423</v>
      </c>
      <c r="H176" s="11">
        <v>5</v>
      </c>
      <c r="I176" s="12">
        <v>6090603</v>
      </c>
      <c r="J176" s="11">
        <v>0</v>
      </c>
      <c r="K176" s="12">
        <v>0</v>
      </c>
      <c r="L176" s="11">
        <v>0</v>
      </c>
      <c r="M176" s="12">
        <v>0</v>
      </c>
      <c r="N176" s="11">
        <v>5</v>
      </c>
      <c r="O176">
        <f>IF(D176="","",SUMIF([1]Sheet1!$B$9:$B$1040,D176,[1]Sheet1!$N$9:$N$1040))</f>
        <v>5</v>
      </c>
      <c r="P176" s="12">
        <v>6090603</v>
      </c>
      <c r="Q176" s="10"/>
    </row>
    <row r="177" spans="1:17" ht="69" hidden="1" x14ac:dyDescent="0.25">
      <c r="A177" s="10" t="s">
        <v>419</v>
      </c>
      <c r="B177" s="10" t="s">
        <v>420</v>
      </c>
      <c r="C177" s="10" t="s">
        <v>482</v>
      </c>
      <c r="D177" t="s">
        <v>482</v>
      </c>
      <c r="E177"/>
      <c r="F177" s="10" t="s">
        <v>483</v>
      </c>
      <c r="G177" s="10" t="s">
        <v>423</v>
      </c>
      <c r="H177" s="11">
        <v>5</v>
      </c>
      <c r="I177" s="12">
        <v>4263422</v>
      </c>
      <c r="J177" s="11">
        <v>0</v>
      </c>
      <c r="K177" s="12">
        <v>0</v>
      </c>
      <c r="L177" s="11">
        <v>0</v>
      </c>
      <c r="M177" s="12">
        <v>0</v>
      </c>
      <c r="N177" s="11">
        <v>5</v>
      </c>
      <c r="O177">
        <f>IF(D177="","",SUMIF([1]Sheet1!$B$9:$B$1040,D177,[1]Sheet1!$N$9:$N$1040))</f>
        <v>5</v>
      </c>
      <c r="P177" s="12">
        <v>4263422</v>
      </c>
      <c r="Q177" s="10"/>
    </row>
    <row r="178" spans="1:17" ht="55.2" hidden="1" x14ac:dyDescent="0.25">
      <c r="A178" s="10" t="s">
        <v>419</v>
      </c>
      <c r="B178" s="10" t="s">
        <v>420</v>
      </c>
      <c r="C178" s="10" t="s">
        <v>484</v>
      </c>
      <c r="D178" t="s">
        <v>484</v>
      </c>
      <c r="E178"/>
      <c r="F178" s="10" t="s">
        <v>485</v>
      </c>
      <c r="G178" s="10" t="s">
        <v>423</v>
      </c>
      <c r="H178" s="11">
        <v>5</v>
      </c>
      <c r="I178" s="12">
        <v>4263422</v>
      </c>
      <c r="J178" s="11">
        <v>0</v>
      </c>
      <c r="K178" s="12">
        <v>0</v>
      </c>
      <c r="L178" s="11">
        <v>0</v>
      </c>
      <c r="M178" s="12">
        <v>0</v>
      </c>
      <c r="N178" s="11">
        <v>5</v>
      </c>
      <c r="O178">
        <f>IF(D178="","",SUMIF([1]Sheet1!$B$9:$B$1040,D178,[1]Sheet1!$N$9:$N$1040))</f>
        <v>5</v>
      </c>
      <c r="P178" s="12">
        <v>4263422</v>
      </c>
      <c r="Q178" s="10"/>
    </row>
    <row r="179" spans="1:17" ht="55.2" hidden="1" x14ac:dyDescent="0.25">
      <c r="A179" s="10" t="s">
        <v>419</v>
      </c>
      <c r="B179" s="10" t="s">
        <v>420</v>
      </c>
      <c r="C179" s="10" t="s">
        <v>486</v>
      </c>
      <c r="D179" t="s">
        <v>486</v>
      </c>
      <c r="E179"/>
      <c r="F179" s="10" t="s">
        <v>487</v>
      </c>
      <c r="G179" s="10" t="s">
        <v>423</v>
      </c>
      <c r="H179" s="11">
        <v>3</v>
      </c>
      <c r="I179" s="12">
        <v>2558053</v>
      </c>
      <c r="J179" s="11">
        <v>0</v>
      </c>
      <c r="K179" s="12">
        <v>0</v>
      </c>
      <c r="L179" s="11">
        <v>0</v>
      </c>
      <c r="M179" s="12">
        <v>0</v>
      </c>
      <c r="N179" s="11">
        <v>3</v>
      </c>
      <c r="O179">
        <f>IF(D179="","",SUMIF([1]Sheet1!$B$9:$B$1040,D179,[1]Sheet1!$N$9:$N$1040))</f>
        <v>3</v>
      </c>
      <c r="P179" s="12">
        <v>2558053</v>
      </c>
      <c r="Q179" s="10"/>
    </row>
    <row r="180" spans="1:17" ht="69" hidden="1" x14ac:dyDescent="0.25">
      <c r="A180" s="10" t="s">
        <v>419</v>
      </c>
      <c r="B180" s="10" t="s">
        <v>420</v>
      </c>
      <c r="C180" s="10" t="s">
        <v>488</v>
      </c>
      <c r="D180" t="s">
        <v>488</v>
      </c>
      <c r="E180"/>
      <c r="F180" s="10" t="s">
        <v>489</v>
      </c>
      <c r="G180" s="10" t="s">
        <v>423</v>
      </c>
      <c r="H180" s="11">
        <v>19</v>
      </c>
      <c r="I180" s="12">
        <v>16417224</v>
      </c>
      <c r="J180" s="11">
        <v>0</v>
      </c>
      <c r="K180" s="12">
        <v>0</v>
      </c>
      <c r="L180" s="11">
        <v>0</v>
      </c>
      <c r="M180" s="12">
        <v>0</v>
      </c>
      <c r="N180" s="11">
        <v>19</v>
      </c>
      <c r="O180">
        <f>IF(D180="","",SUMIF([1]Sheet1!$B$9:$B$1040,D180,[1]Sheet1!$N$9:$N$1040))</f>
        <v>19</v>
      </c>
      <c r="P180" s="12">
        <v>16417224</v>
      </c>
      <c r="Q180" s="10"/>
    </row>
    <row r="181" spans="1:17" ht="55.2" hidden="1" x14ac:dyDescent="0.25">
      <c r="A181" s="10" t="s">
        <v>419</v>
      </c>
      <c r="B181" s="10" t="s">
        <v>420</v>
      </c>
      <c r="C181" s="10" t="s">
        <v>490</v>
      </c>
      <c r="D181" t="s">
        <v>490</v>
      </c>
      <c r="E181"/>
      <c r="F181" s="10" t="s">
        <v>491</v>
      </c>
      <c r="G181" s="10" t="s">
        <v>423</v>
      </c>
      <c r="H181" s="11">
        <v>30</v>
      </c>
      <c r="I181" s="12">
        <v>25580534</v>
      </c>
      <c r="J181" s="11">
        <v>0</v>
      </c>
      <c r="K181" s="12">
        <v>0</v>
      </c>
      <c r="L181" s="11">
        <v>0</v>
      </c>
      <c r="M181" s="12">
        <v>0</v>
      </c>
      <c r="N181" s="11">
        <v>30</v>
      </c>
      <c r="O181">
        <f>IF(D181="","",SUMIF([1]Sheet1!$B$9:$B$1040,D181,[1]Sheet1!$N$9:$N$1040))</f>
        <v>29</v>
      </c>
      <c r="P181" s="12">
        <v>25580534</v>
      </c>
      <c r="Q181" s="10"/>
    </row>
    <row r="182" spans="1:17" ht="55.2" hidden="1" x14ac:dyDescent="0.25">
      <c r="A182" s="10" t="s">
        <v>419</v>
      </c>
      <c r="B182" s="10" t="s">
        <v>420</v>
      </c>
      <c r="C182" s="10" t="s">
        <v>492</v>
      </c>
      <c r="D182" t="s">
        <v>492</v>
      </c>
      <c r="E182"/>
      <c r="F182" s="10" t="s">
        <v>493</v>
      </c>
      <c r="G182" s="10" t="s">
        <v>423</v>
      </c>
      <c r="H182" s="11">
        <v>28</v>
      </c>
      <c r="I182" s="12">
        <v>24193803</v>
      </c>
      <c r="J182" s="11">
        <v>0</v>
      </c>
      <c r="K182" s="12">
        <v>0</v>
      </c>
      <c r="L182" s="11">
        <v>0</v>
      </c>
      <c r="M182" s="12">
        <v>0</v>
      </c>
      <c r="N182" s="11">
        <v>28</v>
      </c>
      <c r="O182">
        <f>IF(D182="","",SUMIF([1]Sheet1!$B$9:$B$1040,D182,[1]Sheet1!$N$9:$N$1040))</f>
        <v>28</v>
      </c>
      <c r="P182" s="12">
        <v>24193803</v>
      </c>
      <c r="Q182" s="10"/>
    </row>
    <row r="183" spans="1:17" ht="55.2" hidden="1" x14ac:dyDescent="0.25">
      <c r="A183" s="10" t="s">
        <v>419</v>
      </c>
      <c r="B183" s="10" t="s">
        <v>420</v>
      </c>
      <c r="C183" s="10" t="s">
        <v>494</v>
      </c>
      <c r="D183" t="s">
        <v>494</v>
      </c>
      <c r="E183"/>
      <c r="F183" s="10" t="s">
        <v>495</v>
      </c>
      <c r="G183" s="10" t="s">
        <v>423</v>
      </c>
      <c r="H183" s="11">
        <v>30</v>
      </c>
      <c r="I183" s="12">
        <v>25580534</v>
      </c>
      <c r="J183" s="11">
        <v>0</v>
      </c>
      <c r="K183" s="12">
        <v>0</v>
      </c>
      <c r="L183" s="11">
        <v>0</v>
      </c>
      <c r="M183" s="12">
        <v>0</v>
      </c>
      <c r="N183" s="11">
        <v>30</v>
      </c>
      <c r="O183">
        <f>IF(D183="","",SUMIF([1]Sheet1!$B$9:$B$1040,D183,[1]Sheet1!$N$9:$N$1040))</f>
        <v>30</v>
      </c>
      <c r="P183" s="12">
        <v>25580534</v>
      </c>
      <c r="Q183" s="10"/>
    </row>
    <row r="184" spans="1:17" ht="69" hidden="1" x14ac:dyDescent="0.25">
      <c r="A184" s="10" t="s">
        <v>419</v>
      </c>
      <c r="B184" s="10" t="s">
        <v>420</v>
      </c>
      <c r="C184" s="10" t="s">
        <v>496</v>
      </c>
      <c r="D184" t="s">
        <v>496</v>
      </c>
      <c r="E184"/>
      <c r="F184" s="10" t="s">
        <v>497</v>
      </c>
      <c r="G184" s="10" t="s">
        <v>423</v>
      </c>
      <c r="H184" s="11">
        <v>28</v>
      </c>
      <c r="I184" s="12">
        <v>30604255</v>
      </c>
      <c r="J184" s="11">
        <v>0</v>
      </c>
      <c r="K184" s="12">
        <v>0</v>
      </c>
      <c r="L184" s="11">
        <v>0</v>
      </c>
      <c r="M184" s="12">
        <v>0</v>
      </c>
      <c r="N184" s="11">
        <v>28</v>
      </c>
      <c r="O184">
        <f>IF(D184="","",SUMIF([1]Sheet1!$B$9:$B$1040,D184,[1]Sheet1!$N$9:$N$1040))</f>
        <v>28</v>
      </c>
      <c r="P184" s="12">
        <v>30604255</v>
      </c>
      <c r="Q184" s="10"/>
    </row>
    <row r="185" spans="1:17" ht="69" hidden="1" x14ac:dyDescent="0.25">
      <c r="A185" s="10" t="s">
        <v>419</v>
      </c>
      <c r="B185" s="10" t="s">
        <v>420</v>
      </c>
      <c r="C185" s="10" t="s">
        <v>498</v>
      </c>
      <c r="D185" t="s">
        <v>498</v>
      </c>
      <c r="E185"/>
      <c r="F185" s="10" t="s">
        <v>499</v>
      </c>
      <c r="G185" s="10" t="s">
        <v>423</v>
      </c>
      <c r="H185" s="11">
        <v>19</v>
      </c>
      <c r="I185" s="12">
        <v>18167437</v>
      </c>
      <c r="J185" s="11">
        <v>0</v>
      </c>
      <c r="K185" s="12">
        <v>0</v>
      </c>
      <c r="L185" s="11">
        <v>0</v>
      </c>
      <c r="M185" s="12">
        <v>0</v>
      </c>
      <c r="N185" s="11">
        <v>19</v>
      </c>
      <c r="O185">
        <f>IF(D185="","",SUMIF([1]Sheet1!$B$9:$B$1040,D185,[1]Sheet1!$N$9:$N$1040))</f>
        <v>16</v>
      </c>
      <c r="P185" s="12">
        <v>18167437</v>
      </c>
      <c r="Q185" s="10"/>
    </row>
    <row r="186" spans="1:17" ht="69" hidden="1" x14ac:dyDescent="0.25">
      <c r="A186" s="10" t="s">
        <v>419</v>
      </c>
      <c r="B186" s="10" t="s">
        <v>420</v>
      </c>
      <c r="C186" s="10" t="s">
        <v>500</v>
      </c>
      <c r="D186" t="s">
        <v>500</v>
      </c>
      <c r="E186"/>
      <c r="F186" s="10" t="s">
        <v>501</v>
      </c>
      <c r="G186" s="10" t="s">
        <v>423</v>
      </c>
      <c r="H186" s="11">
        <v>22</v>
      </c>
      <c r="I186" s="12">
        <v>19009418</v>
      </c>
      <c r="J186" s="11">
        <v>0</v>
      </c>
      <c r="K186" s="12">
        <v>0</v>
      </c>
      <c r="L186" s="11">
        <v>0</v>
      </c>
      <c r="M186" s="12">
        <v>0</v>
      </c>
      <c r="N186" s="11">
        <v>22</v>
      </c>
      <c r="O186">
        <f>IF(D186="","",SUMIF([1]Sheet1!$B$9:$B$1040,D186,[1]Sheet1!$N$9:$N$1040))</f>
        <v>20</v>
      </c>
      <c r="P186" s="12">
        <v>19009418</v>
      </c>
      <c r="Q186" s="10"/>
    </row>
    <row r="187" spans="1:17" ht="69" hidden="1" x14ac:dyDescent="0.25">
      <c r="A187" s="10" t="s">
        <v>419</v>
      </c>
      <c r="B187" s="10" t="s">
        <v>420</v>
      </c>
      <c r="C187" s="10" t="s">
        <v>502</v>
      </c>
      <c r="D187" t="s">
        <v>502</v>
      </c>
      <c r="E187"/>
      <c r="F187" s="10" t="s">
        <v>503</v>
      </c>
      <c r="G187" s="10" t="s">
        <v>423</v>
      </c>
      <c r="H187" s="11">
        <v>5</v>
      </c>
      <c r="I187" s="12">
        <v>6090603</v>
      </c>
      <c r="J187" s="11">
        <v>0</v>
      </c>
      <c r="K187" s="12">
        <v>0</v>
      </c>
      <c r="L187" s="11">
        <v>0</v>
      </c>
      <c r="M187" s="12">
        <v>0</v>
      </c>
      <c r="N187" s="11">
        <v>5</v>
      </c>
      <c r="O187">
        <f>IF(D187="","",SUMIF([1]Sheet1!$B$9:$B$1040,D187,[1]Sheet1!$N$9:$N$1040))</f>
        <v>5</v>
      </c>
      <c r="P187" s="12">
        <v>6090603</v>
      </c>
      <c r="Q187" s="10"/>
    </row>
    <row r="188" spans="1:17" ht="55.2" hidden="1" x14ac:dyDescent="0.25">
      <c r="A188" s="10" t="s">
        <v>419</v>
      </c>
      <c r="B188" s="10" t="s">
        <v>420</v>
      </c>
      <c r="C188" s="10" t="s">
        <v>504</v>
      </c>
      <c r="D188" t="s">
        <v>504</v>
      </c>
      <c r="E188"/>
      <c r="F188" s="10" t="s">
        <v>505</v>
      </c>
      <c r="G188" s="10" t="s">
        <v>423</v>
      </c>
      <c r="H188" s="11">
        <v>30</v>
      </c>
      <c r="I188" s="12">
        <v>25580534</v>
      </c>
      <c r="J188" s="11">
        <v>0</v>
      </c>
      <c r="K188" s="12">
        <v>0</v>
      </c>
      <c r="L188" s="11">
        <v>0</v>
      </c>
      <c r="M188" s="12">
        <v>0</v>
      </c>
      <c r="N188" s="11">
        <v>30</v>
      </c>
      <c r="O188">
        <f>IF(D188="","",SUMIF([1]Sheet1!$B$9:$B$1040,D188,[1]Sheet1!$N$9:$N$1040))</f>
        <v>30</v>
      </c>
      <c r="P188" s="12">
        <v>25580534</v>
      </c>
      <c r="Q188" s="10"/>
    </row>
    <row r="189" spans="1:17" ht="55.2" hidden="1" x14ac:dyDescent="0.25">
      <c r="A189" s="10" t="s">
        <v>419</v>
      </c>
      <c r="B189" s="10" t="s">
        <v>420</v>
      </c>
      <c r="C189" s="10" t="s">
        <v>506</v>
      </c>
      <c r="D189" t="s">
        <v>506</v>
      </c>
      <c r="E189"/>
      <c r="F189" s="10" t="s">
        <v>507</v>
      </c>
      <c r="G189" s="10" t="s">
        <v>423</v>
      </c>
      <c r="H189" s="11">
        <v>20</v>
      </c>
      <c r="I189" s="12">
        <v>17118717</v>
      </c>
      <c r="J189" s="11">
        <v>0</v>
      </c>
      <c r="K189" s="12">
        <v>0</v>
      </c>
      <c r="L189" s="11">
        <v>0</v>
      </c>
      <c r="M189" s="12">
        <v>0</v>
      </c>
      <c r="N189" s="11">
        <v>20</v>
      </c>
      <c r="O189">
        <f>IF(D189="","",SUMIF([1]Sheet1!$B$9:$B$1040,D189,[1]Sheet1!$N$9:$N$1040))</f>
        <v>19</v>
      </c>
      <c r="P189" s="12">
        <v>17118717</v>
      </c>
      <c r="Q189" s="10"/>
    </row>
    <row r="190" spans="1:17" ht="55.2" hidden="1" x14ac:dyDescent="0.25">
      <c r="A190" s="10" t="s">
        <v>419</v>
      </c>
      <c r="B190" s="10" t="s">
        <v>420</v>
      </c>
      <c r="C190" s="10" t="s">
        <v>508</v>
      </c>
      <c r="D190" t="s">
        <v>508</v>
      </c>
      <c r="E190"/>
      <c r="F190" s="10" t="s">
        <v>509</v>
      </c>
      <c r="G190" s="10" t="s">
        <v>423</v>
      </c>
      <c r="H190" s="11">
        <v>35</v>
      </c>
      <c r="I190" s="12">
        <v>30242252</v>
      </c>
      <c r="J190" s="11">
        <v>0</v>
      </c>
      <c r="K190" s="12">
        <v>0</v>
      </c>
      <c r="L190" s="11">
        <v>0</v>
      </c>
      <c r="M190" s="12">
        <v>0</v>
      </c>
      <c r="N190" s="11">
        <v>35</v>
      </c>
      <c r="O190">
        <f>IF(D190="","",SUMIF([1]Sheet1!$B$9:$B$1040,D190,[1]Sheet1!$N$9:$N$1040))</f>
        <v>32</v>
      </c>
      <c r="P190" s="12">
        <v>30242252</v>
      </c>
      <c r="Q190" s="10"/>
    </row>
    <row r="191" spans="1:17" ht="55.2" hidden="1" x14ac:dyDescent="0.25">
      <c r="A191" s="10" t="s">
        <v>419</v>
      </c>
      <c r="B191" s="10" t="s">
        <v>420</v>
      </c>
      <c r="C191" s="10" t="s">
        <v>510</v>
      </c>
      <c r="D191" t="s">
        <v>510</v>
      </c>
      <c r="E191"/>
      <c r="F191" s="10" t="s">
        <v>511</v>
      </c>
      <c r="G191" s="10" t="s">
        <v>423</v>
      </c>
      <c r="H191" s="11">
        <v>31</v>
      </c>
      <c r="I191" s="12">
        <v>26590009</v>
      </c>
      <c r="J191" s="11">
        <v>0</v>
      </c>
      <c r="K191" s="12">
        <v>0</v>
      </c>
      <c r="L191" s="11">
        <v>0</v>
      </c>
      <c r="M191" s="12">
        <v>0</v>
      </c>
      <c r="N191" s="11">
        <v>31</v>
      </c>
      <c r="O191">
        <f>IF(D191="","",SUMIF([1]Sheet1!$B$9:$B$1040,D191,[1]Sheet1!$N$9:$N$1040))</f>
        <v>33</v>
      </c>
      <c r="P191" s="12">
        <v>26590009</v>
      </c>
      <c r="Q191" s="10"/>
    </row>
    <row r="192" spans="1:17" ht="55.2" hidden="1" x14ac:dyDescent="0.25">
      <c r="A192" s="10" t="s">
        <v>419</v>
      </c>
      <c r="B192" s="10" t="s">
        <v>420</v>
      </c>
      <c r="C192" s="10" t="s">
        <v>512</v>
      </c>
      <c r="D192" t="s">
        <v>512</v>
      </c>
      <c r="E192"/>
      <c r="F192" s="10" t="s">
        <v>513</v>
      </c>
      <c r="G192" s="10" t="s">
        <v>423</v>
      </c>
      <c r="H192" s="11">
        <v>17</v>
      </c>
      <c r="I192" s="12">
        <v>14604982</v>
      </c>
      <c r="J192" s="11">
        <v>0</v>
      </c>
      <c r="K192" s="12">
        <v>0</v>
      </c>
      <c r="L192" s="11">
        <v>0</v>
      </c>
      <c r="M192" s="12">
        <v>0</v>
      </c>
      <c r="N192" s="11">
        <v>17</v>
      </c>
      <c r="O192">
        <f>IF(D192="","",SUMIF([1]Sheet1!$B$9:$B$1040,D192,[1]Sheet1!$N$9:$N$1040))</f>
        <v>16</v>
      </c>
      <c r="P192" s="12">
        <v>14604982</v>
      </c>
      <c r="Q192" s="10"/>
    </row>
    <row r="193" spans="1:17" ht="55.2" hidden="1" x14ac:dyDescent="0.25">
      <c r="A193" s="10" t="s">
        <v>419</v>
      </c>
      <c r="B193" s="10" t="s">
        <v>420</v>
      </c>
      <c r="C193" s="10" t="s">
        <v>514</v>
      </c>
      <c r="D193" t="s">
        <v>514</v>
      </c>
      <c r="E193"/>
      <c r="F193" s="10" t="s">
        <v>515</v>
      </c>
      <c r="G193" s="10" t="s">
        <v>423</v>
      </c>
      <c r="H193" s="11">
        <v>17</v>
      </c>
      <c r="I193" s="12">
        <v>14689095</v>
      </c>
      <c r="J193" s="11">
        <v>0</v>
      </c>
      <c r="K193" s="12">
        <v>0</v>
      </c>
      <c r="L193" s="11">
        <v>0</v>
      </c>
      <c r="M193" s="12">
        <v>0</v>
      </c>
      <c r="N193" s="11">
        <v>17</v>
      </c>
      <c r="O193">
        <f>IF(D193="","",SUMIF([1]Sheet1!$B$9:$B$1040,D193,[1]Sheet1!$N$9:$N$1040))</f>
        <v>16</v>
      </c>
      <c r="P193" s="12">
        <v>14689095</v>
      </c>
      <c r="Q193" s="10"/>
    </row>
    <row r="194" spans="1:17" ht="69" hidden="1" x14ac:dyDescent="0.25">
      <c r="A194" s="10" t="s">
        <v>419</v>
      </c>
      <c r="B194" s="10" t="s">
        <v>420</v>
      </c>
      <c r="C194" s="10" t="s">
        <v>516</v>
      </c>
      <c r="D194" t="s">
        <v>516</v>
      </c>
      <c r="E194"/>
      <c r="F194" s="10" t="s">
        <v>517</v>
      </c>
      <c r="G194" s="10" t="s">
        <v>423</v>
      </c>
      <c r="H194" s="11">
        <v>19</v>
      </c>
      <c r="I194" s="12">
        <v>16417224</v>
      </c>
      <c r="J194" s="11">
        <v>0</v>
      </c>
      <c r="K194" s="12">
        <v>0</v>
      </c>
      <c r="L194" s="11">
        <v>0</v>
      </c>
      <c r="M194" s="12">
        <v>0</v>
      </c>
      <c r="N194" s="11">
        <v>19</v>
      </c>
      <c r="O194">
        <f>IF(D194="","",SUMIF([1]Sheet1!$B$9:$B$1040,D194,[1]Sheet1!$N$9:$N$1040))</f>
        <v>21</v>
      </c>
      <c r="P194" s="12">
        <v>16417224</v>
      </c>
      <c r="Q194" s="10"/>
    </row>
    <row r="195" spans="1:17" ht="55.2" hidden="1" x14ac:dyDescent="0.25">
      <c r="A195" s="10" t="s">
        <v>419</v>
      </c>
      <c r="B195" s="10" t="s">
        <v>420</v>
      </c>
      <c r="C195" s="10" t="s">
        <v>518</v>
      </c>
      <c r="D195" t="s">
        <v>518</v>
      </c>
      <c r="E195"/>
      <c r="F195" s="10" t="s">
        <v>519</v>
      </c>
      <c r="G195" s="10" t="s">
        <v>423</v>
      </c>
      <c r="H195" s="11">
        <v>5</v>
      </c>
      <c r="I195" s="12">
        <v>4263422</v>
      </c>
      <c r="J195" s="11">
        <v>0</v>
      </c>
      <c r="K195" s="12">
        <v>0</v>
      </c>
      <c r="L195" s="11">
        <v>0</v>
      </c>
      <c r="M195" s="12">
        <v>0</v>
      </c>
      <c r="N195" s="11">
        <v>5</v>
      </c>
      <c r="O195">
        <f>IF(D195="","",SUMIF([1]Sheet1!$B$9:$B$1040,D195,[1]Sheet1!$N$9:$N$1040))</f>
        <v>5</v>
      </c>
      <c r="P195" s="12">
        <v>4263422</v>
      </c>
      <c r="Q195" s="10"/>
    </row>
    <row r="196" spans="1:17" ht="69" hidden="1" x14ac:dyDescent="0.25">
      <c r="A196" s="10" t="s">
        <v>419</v>
      </c>
      <c r="B196" s="10" t="s">
        <v>420</v>
      </c>
      <c r="C196" s="10" t="s">
        <v>520</v>
      </c>
      <c r="D196" t="s">
        <v>520</v>
      </c>
      <c r="E196"/>
      <c r="F196" s="10" t="s">
        <v>521</v>
      </c>
      <c r="G196" s="10" t="s">
        <v>423</v>
      </c>
      <c r="H196" s="11">
        <v>23</v>
      </c>
      <c r="I196" s="12">
        <v>19873482</v>
      </c>
      <c r="J196" s="11">
        <v>0</v>
      </c>
      <c r="K196" s="12">
        <v>0</v>
      </c>
      <c r="L196" s="11">
        <v>0</v>
      </c>
      <c r="M196" s="12">
        <v>0</v>
      </c>
      <c r="N196" s="11">
        <v>23</v>
      </c>
      <c r="O196">
        <f>IF(D196="","",SUMIF([1]Sheet1!$B$9:$B$1040,D196,[1]Sheet1!$N$9:$N$1040))</f>
        <v>22</v>
      </c>
      <c r="P196" s="12">
        <v>19873482</v>
      </c>
      <c r="Q196" s="10"/>
    </row>
    <row r="197" spans="1:17" ht="69" hidden="1" x14ac:dyDescent="0.25">
      <c r="A197" s="10" t="s">
        <v>419</v>
      </c>
      <c r="B197" s="10" t="s">
        <v>420</v>
      </c>
      <c r="C197" s="10" t="s">
        <v>522</v>
      </c>
      <c r="D197" t="s">
        <v>522</v>
      </c>
      <c r="E197"/>
      <c r="F197" s="10" t="s">
        <v>523</v>
      </c>
      <c r="G197" s="10" t="s">
        <v>423</v>
      </c>
      <c r="H197" s="11">
        <v>25</v>
      </c>
      <c r="I197" s="12">
        <v>30692062</v>
      </c>
      <c r="J197" s="11">
        <v>0</v>
      </c>
      <c r="K197" s="12">
        <v>0</v>
      </c>
      <c r="L197" s="11">
        <v>0</v>
      </c>
      <c r="M197" s="12">
        <v>0</v>
      </c>
      <c r="N197" s="11">
        <v>25</v>
      </c>
      <c r="O197">
        <f>IF(D197="","",SUMIF([1]Sheet1!$B$9:$B$1040,D197,[1]Sheet1!$N$9:$N$1040))</f>
        <v>24</v>
      </c>
      <c r="P197" s="12">
        <v>30692062</v>
      </c>
      <c r="Q197" s="10"/>
    </row>
    <row r="198" spans="1:17" ht="69" hidden="1" x14ac:dyDescent="0.25">
      <c r="A198" s="10" t="s">
        <v>419</v>
      </c>
      <c r="B198" s="10" t="s">
        <v>420</v>
      </c>
      <c r="C198" s="10" t="s">
        <v>524</v>
      </c>
      <c r="D198" t="s">
        <v>524</v>
      </c>
      <c r="E198"/>
      <c r="F198" s="10" t="s">
        <v>525</v>
      </c>
      <c r="G198" s="10" t="s">
        <v>423</v>
      </c>
      <c r="H198" s="11">
        <v>23</v>
      </c>
      <c r="I198" s="12">
        <v>19873483</v>
      </c>
      <c r="J198" s="11">
        <v>0</v>
      </c>
      <c r="K198" s="12">
        <v>0</v>
      </c>
      <c r="L198" s="11">
        <v>0</v>
      </c>
      <c r="M198" s="12">
        <v>0</v>
      </c>
      <c r="N198" s="11">
        <v>23</v>
      </c>
      <c r="O198">
        <f>IF(D198="","",SUMIF([1]Sheet1!$B$9:$B$1040,D198,[1]Sheet1!$N$9:$N$1040))</f>
        <v>23</v>
      </c>
      <c r="P198" s="12">
        <v>19873483</v>
      </c>
      <c r="Q198" s="10"/>
    </row>
    <row r="199" spans="1:17" ht="69" hidden="1" x14ac:dyDescent="0.25">
      <c r="A199" s="10" t="s">
        <v>526</v>
      </c>
      <c r="B199" s="10" t="s">
        <v>527</v>
      </c>
      <c r="C199" s="10" t="s">
        <v>528</v>
      </c>
      <c r="D199" s="3" t="s">
        <v>529</v>
      </c>
      <c r="F199" s="10" t="s">
        <v>530</v>
      </c>
      <c r="G199" s="10" t="s">
        <v>18</v>
      </c>
      <c r="H199" s="11">
        <v>38</v>
      </c>
      <c r="I199" s="12">
        <v>1806608</v>
      </c>
      <c r="J199" s="11">
        <v>0</v>
      </c>
      <c r="K199" s="12">
        <v>0</v>
      </c>
      <c r="L199" s="11">
        <v>0</v>
      </c>
      <c r="M199" s="12">
        <v>0</v>
      </c>
      <c r="N199" s="11">
        <v>38</v>
      </c>
      <c r="O199">
        <f>IF(D199="","",SUMIF([1]Sheet1!$B$9:$B$1040,D199,[1]Sheet1!$N$9:$N$1040))</f>
        <v>0</v>
      </c>
      <c r="P199" s="12">
        <v>1806608</v>
      </c>
      <c r="Q199" s="10"/>
    </row>
    <row r="200" spans="1:17" ht="41.4" x14ac:dyDescent="0.25">
      <c r="A200" s="10" t="s">
        <v>526</v>
      </c>
      <c r="B200" s="10" t="s">
        <v>527</v>
      </c>
      <c r="C200" s="10" t="s">
        <v>531</v>
      </c>
      <c r="D200" s="3" t="s">
        <v>532</v>
      </c>
      <c r="E200" s="3" t="s">
        <v>403</v>
      </c>
      <c r="F200" s="10" t="s">
        <v>533</v>
      </c>
      <c r="G200" s="10" t="s">
        <v>25</v>
      </c>
      <c r="H200" s="11">
        <v>292</v>
      </c>
      <c r="I200" s="12">
        <v>248238588</v>
      </c>
      <c r="J200" s="11">
        <v>0</v>
      </c>
      <c r="K200" s="12">
        <v>0</v>
      </c>
      <c r="L200" s="11">
        <v>0</v>
      </c>
      <c r="M200" s="12">
        <v>0</v>
      </c>
      <c r="N200" s="11">
        <v>292</v>
      </c>
      <c r="O200">
        <f>IF(D200="","",SUMIF([1]Sheet1!$B$9:$B$1040,D200,[1]Sheet1!$N$9:$N$1040))</f>
        <v>218</v>
      </c>
      <c r="P200" s="12">
        <v>248238588</v>
      </c>
      <c r="Q200" s="10"/>
    </row>
    <row r="201" spans="1:17" ht="55.2" x14ac:dyDescent="0.25">
      <c r="A201" s="10" t="s">
        <v>526</v>
      </c>
      <c r="B201" s="10" t="s">
        <v>527</v>
      </c>
      <c r="C201" s="10" t="s">
        <v>534</v>
      </c>
      <c r="D201" t="s">
        <v>534</v>
      </c>
      <c r="E201" s="23" t="s">
        <v>614</v>
      </c>
      <c r="F201" s="10" t="s">
        <v>535</v>
      </c>
      <c r="G201" s="10" t="s">
        <v>18</v>
      </c>
      <c r="H201" s="11">
        <v>86</v>
      </c>
      <c r="I201" s="12">
        <v>77377388</v>
      </c>
      <c r="J201" s="11">
        <v>0</v>
      </c>
      <c r="K201" s="12">
        <v>0</v>
      </c>
      <c r="L201" s="11">
        <v>0</v>
      </c>
      <c r="M201" s="12">
        <v>0</v>
      </c>
      <c r="N201" s="11">
        <v>86</v>
      </c>
      <c r="O201">
        <f>IF(D201="","",SUMIF([1]Sheet1!$B$9:$B$1040,D201,[1]Sheet1!$N$9:$N$1040))</f>
        <v>9</v>
      </c>
      <c r="P201" s="12">
        <v>77377388</v>
      </c>
      <c r="Q201" s="10"/>
    </row>
    <row r="202" spans="1:17" ht="55.2" x14ac:dyDescent="0.25">
      <c r="A202" s="10" t="s">
        <v>526</v>
      </c>
      <c r="B202" s="10" t="s">
        <v>527</v>
      </c>
      <c r="C202" s="10" t="s">
        <v>536</v>
      </c>
      <c r="D202" t="s">
        <v>536</v>
      </c>
      <c r="E202" s="23" t="s">
        <v>614</v>
      </c>
      <c r="F202" s="10" t="s">
        <v>537</v>
      </c>
      <c r="G202" s="10" t="s">
        <v>18</v>
      </c>
      <c r="H202" s="11">
        <v>176</v>
      </c>
      <c r="I202" s="12">
        <v>164404776</v>
      </c>
      <c r="J202" s="11">
        <v>0</v>
      </c>
      <c r="K202" s="12">
        <v>0</v>
      </c>
      <c r="L202" s="11">
        <v>0</v>
      </c>
      <c r="M202" s="12">
        <v>0</v>
      </c>
      <c r="N202" s="11">
        <v>176</v>
      </c>
      <c r="O202">
        <f>IF(D202="","",SUMIF([1]Sheet1!$B$9:$B$1040,D202,[1]Sheet1!$N$9:$N$1040))</f>
        <v>204</v>
      </c>
      <c r="P202" s="12">
        <v>164404776</v>
      </c>
      <c r="Q202" s="10"/>
    </row>
    <row r="203" spans="1:17" ht="41.4" x14ac:dyDescent="0.25">
      <c r="A203" s="10" t="s">
        <v>526</v>
      </c>
      <c r="B203" s="10" t="s">
        <v>527</v>
      </c>
      <c r="C203" s="10" t="s">
        <v>538</v>
      </c>
      <c r="D203" s="3" t="s">
        <v>539</v>
      </c>
      <c r="E203" s="3" t="s">
        <v>403</v>
      </c>
      <c r="F203" s="10" t="s">
        <v>540</v>
      </c>
      <c r="G203" s="10" t="s">
        <v>25</v>
      </c>
      <c r="H203" s="11">
        <v>308</v>
      </c>
      <c r="I203" s="12">
        <v>273133774</v>
      </c>
      <c r="J203" s="11">
        <v>0</v>
      </c>
      <c r="K203" s="12">
        <v>0</v>
      </c>
      <c r="L203" s="11">
        <v>0</v>
      </c>
      <c r="M203" s="12">
        <v>0</v>
      </c>
      <c r="N203" s="11">
        <v>308</v>
      </c>
      <c r="O203">
        <f>IF(D203="","",SUMIF([1]Sheet1!$B$9:$B$1040,D203,[1]Sheet1!$N$9:$N$1040))</f>
        <v>292</v>
      </c>
      <c r="P203" s="12">
        <v>273133774</v>
      </c>
      <c r="Q203" s="10"/>
    </row>
    <row r="204" spans="1:17" ht="27.6" x14ac:dyDescent="0.25">
      <c r="A204" s="10" t="s">
        <v>526</v>
      </c>
      <c r="B204" s="10" t="s">
        <v>527</v>
      </c>
      <c r="C204" s="10" t="s">
        <v>541</v>
      </c>
      <c r="D204" t="s">
        <v>541</v>
      </c>
      <c r="E204" s="24" t="s">
        <v>615</v>
      </c>
      <c r="F204" s="10" t="s">
        <v>542</v>
      </c>
      <c r="G204" s="10" t="s">
        <v>18</v>
      </c>
      <c r="H204" s="11">
        <v>181</v>
      </c>
      <c r="I204" s="12">
        <v>143369924</v>
      </c>
      <c r="J204" s="11">
        <v>0</v>
      </c>
      <c r="K204" s="12">
        <v>0</v>
      </c>
      <c r="L204" s="11">
        <v>0</v>
      </c>
      <c r="M204" s="12">
        <v>0</v>
      </c>
      <c r="N204" s="11">
        <v>181</v>
      </c>
      <c r="O204">
        <f>IF(D204="","",SUMIF([1]Sheet1!$B$9:$B$1040,D204,[1]Sheet1!$N$9:$N$1040))</f>
        <v>126</v>
      </c>
      <c r="P204" s="12">
        <v>143369924</v>
      </c>
      <c r="Q204" s="10"/>
    </row>
    <row r="205" spans="1:17" ht="41.4" x14ac:dyDescent="0.25">
      <c r="A205" s="10" t="s">
        <v>526</v>
      </c>
      <c r="B205" s="10" t="s">
        <v>527</v>
      </c>
      <c r="C205" s="10" t="s">
        <v>543</v>
      </c>
      <c r="D205" t="s">
        <v>543</v>
      </c>
      <c r="E205" s="24" t="s">
        <v>616</v>
      </c>
      <c r="F205" s="10" t="s">
        <v>544</v>
      </c>
      <c r="G205" s="10" t="s">
        <v>18</v>
      </c>
      <c r="H205" s="11">
        <v>96</v>
      </c>
      <c r="I205" s="12">
        <v>84493574</v>
      </c>
      <c r="J205" s="11">
        <v>0</v>
      </c>
      <c r="K205" s="12">
        <v>0</v>
      </c>
      <c r="L205" s="11">
        <v>0</v>
      </c>
      <c r="M205" s="12">
        <v>0</v>
      </c>
      <c r="N205" s="11">
        <v>96</v>
      </c>
      <c r="O205">
        <f>IF(D205="","",SUMIF([1]Sheet1!$B$9:$B$1040,D205,[1]Sheet1!$N$9:$N$1040))</f>
        <v>53</v>
      </c>
      <c r="P205" s="12">
        <v>84493574</v>
      </c>
      <c r="Q205" s="10"/>
    </row>
    <row r="206" spans="1:17" ht="55.2" x14ac:dyDescent="0.25">
      <c r="A206" s="10" t="s">
        <v>526</v>
      </c>
      <c r="B206" s="10" t="s">
        <v>527</v>
      </c>
      <c r="C206" s="10" t="s">
        <v>545</v>
      </c>
      <c r="D206" t="s">
        <v>545</v>
      </c>
      <c r="E206" s="24" t="s">
        <v>616</v>
      </c>
      <c r="F206" s="10" t="s">
        <v>546</v>
      </c>
      <c r="G206" s="10" t="s">
        <v>18</v>
      </c>
      <c r="H206" s="11">
        <v>234</v>
      </c>
      <c r="I206" s="12">
        <v>212401071</v>
      </c>
      <c r="J206" s="11">
        <v>0</v>
      </c>
      <c r="K206" s="12">
        <v>0</v>
      </c>
      <c r="L206" s="11">
        <v>0</v>
      </c>
      <c r="M206" s="12">
        <v>0</v>
      </c>
      <c r="N206" s="11">
        <v>234</v>
      </c>
      <c r="O206">
        <f>IF(D206="","",SUMIF([1]Sheet1!$B$9:$B$1040,D206,[1]Sheet1!$N$9:$N$1040))</f>
        <v>278</v>
      </c>
      <c r="P206" s="12">
        <v>212401071</v>
      </c>
      <c r="Q206" s="10"/>
    </row>
    <row r="207" spans="1:17" ht="41.4" x14ac:dyDescent="0.25">
      <c r="A207" s="10" t="s">
        <v>526</v>
      </c>
      <c r="B207" s="10" t="s">
        <v>527</v>
      </c>
      <c r="C207" s="10" t="s">
        <v>547</v>
      </c>
      <c r="D207" t="s">
        <v>547</v>
      </c>
      <c r="E207" s="24" t="s">
        <v>615</v>
      </c>
      <c r="F207" s="10" t="s">
        <v>548</v>
      </c>
      <c r="G207" s="10" t="s">
        <v>18</v>
      </c>
      <c r="H207" s="11">
        <v>209</v>
      </c>
      <c r="I207" s="12">
        <v>170148908</v>
      </c>
      <c r="J207" s="11">
        <v>0</v>
      </c>
      <c r="K207" s="12">
        <v>0</v>
      </c>
      <c r="L207" s="11">
        <v>0</v>
      </c>
      <c r="M207" s="12">
        <v>0</v>
      </c>
      <c r="N207" s="11">
        <v>209</v>
      </c>
      <c r="O207">
        <f>IF(D207="","",SUMIF([1]Sheet1!$B$9:$B$1040,D207,[1]Sheet1!$N$9:$N$1040))</f>
        <v>167</v>
      </c>
      <c r="P207" s="12">
        <v>170148908</v>
      </c>
      <c r="Q207" s="10"/>
    </row>
    <row r="208" spans="1:17" ht="69" hidden="1" x14ac:dyDescent="0.25">
      <c r="A208" s="10" t="s">
        <v>526</v>
      </c>
      <c r="B208" s="10" t="s">
        <v>527</v>
      </c>
      <c r="C208" s="10" t="s">
        <v>549</v>
      </c>
      <c r="D208" t="s">
        <v>549</v>
      </c>
      <c r="E208"/>
      <c r="F208" s="10" t="s">
        <v>550</v>
      </c>
      <c r="G208" s="10" t="s">
        <v>18</v>
      </c>
      <c r="H208" s="11">
        <v>23</v>
      </c>
      <c r="I208" s="12">
        <v>8885323</v>
      </c>
      <c r="J208" s="11">
        <v>0</v>
      </c>
      <c r="K208" s="12">
        <v>0</v>
      </c>
      <c r="L208" s="11">
        <v>0</v>
      </c>
      <c r="M208" s="12">
        <v>0</v>
      </c>
      <c r="N208" s="11">
        <v>23</v>
      </c>
      <c r="O208">
        <f>IF(D208="","",SUMIF([1]Sheet1!$B$9:$B$1040,D208,[1]Sheet1!$N$9:$N$1040))</f>
        <v>26</v>
      </c>
      <c r="P208" s="12">
        <v>8885323</v>
      </c>
      <c r="Q208" s="10"/>
    </row>
    <row r="209" spans="1:17" ht="69" hidden="1" x14ac:dyDescent="0.25">
      <c r="A209" s="10" t="s">
        <v>526</v>
      </c>
      <c r="B209" s="10" t="s">
        <v>527</v>
      </c>
      <c r="C209" s="10" t="s">
        <v>551</v>
      </c>
      <c r="D209" t="s">
        <v>551</v>
      </c>
      <c r="E209"/>
      <c r="F209" s="10" t="s">
        <v>552</v>
      </c>
      <c r="G209" s="10" t="s">
        <v>553</v>
      </c>
      <c r="H209" s="11">
        <v>93</v>
      </c>
      <c r="I209" s="12">
        <v>45219727</v>
      </c>
      <c r="J209" s="11">
        <v>0</v>
      </c>
      <c r="K209" s="12">
        <v>0</v>
      </c>
      <c r="L209" s="11">
        <v>0</v>
      </c>
      <c r="M209" s="12">
        <v>0</v>
      </c>
      <c r="N209" s="11">
        <v>93</v>
      </c>
      <c r="O209">
        <f>IF(D209="","",SUMIF([1]Sheet1!$B$9:$B$1040,D209,[1]Sheet1!$N$9:$N$1040))</f>
        <v>69</v>
      </c>
      <c r="P209" s="12">
        <v>45219727</v>
      </c>
      <c r="Q209" s="10"/>
    </row>
    <row r="210" spans="1:17" ht="69" x14ac:dyDescent="0.25">
      <c r="A210" s="10" t="s">
        <v>526</v>
      </c>
      <c r="B210" s="10" t="s">
        <v>527</v>
      </c>
      <c r="C210" s="10" t="s">
        <v>554</v>
      </c>
      <c r="D210" t="s">
        <v>609</v>
      </c>
      <c r="E210" s="23" t="s">
        <v>617</v>
      </c>
      <c r="F210" s="10" t="s">
        <v>555</v>
      </c>
      <c r="G210" s="10" t="s">
        <v>18</v>
      </c>
      <c r="H210" s="11">
        <v>200</v>
      </c>
      <c r="I210" s="12">
        <v>71818918</v>
      </c>
      <c r="J210" s="11">
        <v>0</v>
      </c>
      <c r="K210" s="12">
        <v>0</v>
      </c>
      <c r="L210" s="11">
        <v>0</v>
      </c>
      <c r="M210" s="12">
        <v>0</v>
      </c>
      <c r="N210" s="11">
        <v>200</v>
      </c>
      <c r="O210">
        <f>IF(D210="","",SUMIF([1]Sheet1!$B$9:$B$1040,D210,[1]Sheet1!$N$9:$N$1040))</f>
        <v>94</v>
      </c>
      <c r="P210" s="12">
        <v>71818918</v>
      </c>
      <c r="Q210" s="10"/>
    </row>
    <row r="211" spans="1:17" ht="69" x14ac:dyDescent="0.25">
      <c r="A211" s="10" t="s">
        <v>526</v>
      </c>
      <c r="B211" s="10" t="s">
        <v>527</v>
      </c>
      <c r="C211" s="10" t="s">
        <v>556</v>
      </c>
      <c r="D211" t="s">
        <v>610</v>
      </c>
      <c r="E211" s="23" t="s">
        <v>617</v>
      </c>
      <c r="F211" s="10" t="s">
        <v>557</v>
      </c>
      <c r="G211" s="10" t="s">
        <v>18</v>
      </c>
      <c r="H211" s="11">
        <v>50</v>
      </c>
      <c r="I211" s="12">
        <v>17954729</v>
      </c>
      <c r="J211" s="11">
        <v>0</v>
      </c>
      <c r="K211" s="12">
        <v>0</v>
      </c>
      <c r="L211" s="11">
        <v>0</v>
      </c>
      <c r="M211" s="12">
        <v>0</v>
      </c>
      <c r="N211" s="11">
        <v>50</v>
      </c>
      <c r="O211">
        <f>IF(D211="","",SUMIF([1]Sheet1!$B$9:$B$1040,D211,[1]Sheet1!$N$9:$N$1040))</f>
        <v>28</v>
      </c>
      <c r="P211" s="12">
        <v>17954729</v>
      </c>
      <c r="Q211" s="10"/>
    </row>
    <row r="212" spans="1:17" ht="69" x14ac:dyDescent="0.25">
      <c r="A212" s="10" t="s">
        <v>526</v>
      </c>
      <c r="B212" s="10" t="s">
        <v>527</v>
      </c>
      <c r="C212" s="10" t="s">
        <v>558</v>
      </c>
      <c r="D212" t="s">
        <v>611</v>
      </c>
      <c r="E212" s="23" t="s">
        <v>617</v>
      </c>
      <c r="F212" s="10" t="s">
        <v>559</v>
      </c>
      <c r="G212" s="10" t="s">
        <v>18</v>
      </c>
      <c r="H212" s="11">
        <v>143</v>
      </c>
      <c r="I212" s="12">
        <v>64006947</v>
      </c>
      <c r="J212" s="11">
        <v>0</v>
      </c>
      <c r="K212" s="12">
        <v>0</v>
      </c>
      <c r="L212" s="11">
        <v>0</v>
      </c>
      <c r="M212" s="12">
        <v>0</v>
      </c>
      <c r="N212" s="11">
        <v>143</v>
      </c>
      <c r="O212">
        <f>IF(D212="","",SUMIF([1]Sheet1!$B$9:$B$1040,D212,[1]Sheet1!$N$9:$N$1040))</f>
        <v>119</v>
      </c>
      <c r="P212" s="12">
        <v>64006947</v>
      </c>
      <c r="Q212" s="10"/>
    </row>
    <row r="213" spans="1:17" ht="69" x14ac:dyDescent="0.25">
      <c r="A213" s="10" t="s">
        <v>526</v>
      </c>
      <c r="B213" s="10" t="s">
        <v>527</v>
      </c>
      <c r="C213" s="10" t="s">
        <v>560</v>
      </c>
      <c r="D213" t="s">
        <v>612</v>
      </c>
      <c r="E213" s="23" t="s">
        <v>617</v>
      </c>
      <c r="F213" s="10" t="s">
        <v>561</v>
      </c>
      <c r="G213" s="10" t="s">
        <v>553</v>
      </c>
      <c r="H213" s="11">
        <v>98</v>
      </c>
      <c r="I213" s="12">
        <v>35195230</v>
      </c>
      <c r="J213" s="11">
        <v>0</v>
      </c>
      <c r="K213" s="12">
        <v>0</v>
      </c>
      <c r="L213" s="11">
        <v>0</v>
      </c>
      <c r="M213" s="12">
        <v>0</v>
      </c>
      <c r="N213" s="11">
        <v>98</v>
      </c>
      <c r="O213">
        <f>IF(D213="","",SUMIF([1]Sheet1!$B$9:$B$1040,D213,[1]Sheet1!$N$9:$N$1040))</f>
        <v>49</v>
      </c>
      <c r="P213" s="12">
        <v>35195230</v>
      </c>
      <c r="Q213" s="10"/>
    </row>
    <row r="214" spans="1:17" ht="41.4" x14ac:dyDescent="0.25">
      <c r="A214" s="10" t="s">
        <v>526</v>
      </c>
      <c r="B214" s="10" t="s">
        <v>527</v>
      </c>
      <c r="C214" s="10" t="s">
        <v>562</v>
      </c>
      <c r="D214" t="s">
        <v>608</v>
      </c>
      <c r="E214" s="23" t="s">
        <v>617</v>
      </c>
      <c r="F214" s="10" t="s">
        <v>563</v>
      </c>
      <c r="G214" s="10" t="s">
        <v>18</v>
      </c>
      <c r="H214" s="11">
        <v>78</v>
      </c>
      <c r="I214" s="12">
        <v>25660831</v>
      </c>
      <c r="J214" s="11">
        <v>0</v>
      </c>
      <c r="K214" s="12">
        <v>0</v>
      </c>
      <c r="L214" s="11">
        <v>0</v>
      </c>
      <c r="M214" s="12">
        <v>0</v>
      </c>
      <c r="N214" s="11">
        <v>78</v>
      </c>
      <c r="O214">
        <f>IF(D214="","",SUMIF([1]Sheet1!$B$9:$B$1040,D214,[1]Sheet1!$N$9:$N$1040))</f>
        <v>0</v>
      </c>
      <c r="P214" s="12">
        <v>25660831</v>
      </c>
      <c r="Q214" s="10"/>
    </row>
    <row r="215" spans="1:17" ht="41.4" x14ac:dyDescent="0.25">
      <c r="A215" s="10" t="s">
        <v>526</v>
      </c>
      <c r="B215" s="10" t="s">
        <v>527</v>
      </c>
      <c r="C215" s="10" t="s">
        <v>564</v>
      </c>
      <c r="D215" t="s">
        <v>603</v>
      </c>
      <c r="E215" s="23" t="s">
        <v>617</v>
      </c>
      <c r="F215" s="10" t="s">
        <v>565</v>
      </c>
      <c r="G215" s="10" t="s">
        <v>18</v>
      </c>
      <c r="H215" s="11">
        <v>100</v>
      </c>
      <c r="I215" s="12">
        <v>33875778</v>
      </c>
      <c r="J215" s="11">
        <v>0</v>
      </c>
      <c r="K215" s="12">
        <v>0</v>
      </c>
      <c r="L215" s="11">
        <v>0</v>
      </c>
      <c r="M215" s="12">
        <v>0</v>
      </c>
      <c r="N215" s="11">
        <v>100</v>
      </c>
      <c r="O215">
        <f>IF(D215="","",SUMIF([1]Sheet1!$B$9:$B$1040,D215,[1]Sheet1!$N$9:$N$1040))</f>
        <v>77</v>
      </c>
      <c r="P215" s="12">
        <v>33875778</v>
      </c>
      <c r="Q215" s="10"/>
    </row>
    <row r="216" spans="1:17" ht="41.4" x14ac:dyDescent="0.25">
      <c r="A216" s="10" t="s">
        <v>526</v>
      </c>
      <c r="B216" s="10" t="s">
        <v>527</v>
      </c>
      <c r="C216" s="10" t="s">
        <v>566</v>
      </c>
      <c r="D216" t="s">
        <v>604</v>
      </c>
      <c r="E216" s="23" t="s">
        <v>617</v>
      </c>
      <c r="F216" s="10" t="s">
        <v>567</v>
      </c>
      <c r="G216" s="10" t="s">
        <v>18</v>
      </c>
      <c r="H216" s="11">
        <v>110</v>
      </c>
      <c r="I216" s="12">
        <v>34892053</v>
      </c>
      <c r="J216" s="11">
        <v>0</v>
      </c>
      <c r="K216" s="12">
        <v>0</v>
      </c>
      <c r="L216" s="11">
        <v>0</v>
      </c>
      <c r="M216" s="12">
        <v>0</v>
      </c>
      <c r="N216" s="11">
        <v>110</v>
      </c>
      <c r="O216">
        <f>IF(D216="","",SUMIF([1]Sheet1!$B$9:$B$1040,D216,[1]Sheet1!$N$9:$N$1040))</f>
        <v>35</v>
      </c>
      <c r="P216" s="12">
        <v>34892053</v>
      </c>
      <c r="Q216" s="10"/>
    </row>
    <row r="217" spans="1:17" ht="41.4" x14ac:dyDescent="0.25">
      <c r="A217" s="10" t="s">
        <v>526</v>
      </c>
      <c r="B217" s="10" t="s">
        <v>527</v>
      </c>
      <c r="C217" s="10" t="s">
        <v>568</v>
      </c>
      <c r="D217" t="s">
        <v>605</v>
      </c>
      <c r="E217" s="23" t="s">
        <v>617</v>
      </c>
      <c r="F217" s="10" t="s">
        <v>569</v>
      </c>
      <c r="G217" s="10" t="s">
        <v>18</v>
      </c>
      <c r="H217" s="11">
        <v>18</v>
      </c>
      <c r="I217" s="12">
        <v>5709608</v>
      </c>
      <c r="J217" s="11">
        <v>0</v>
      </c>
      <c r="K217" s="12">
        <v>0</v>
      </c>
      <c r="L217" s="11">
        <v>0</v>
      </c>
      <c r="M217" s="12">
        <v>0</v>
      </c>
      <c r="N217" s="11">
        <v>18</v>
      </c>
      <c r="O217">
        <f>IF(D217="","",SUMIF([1]Sheet1!$B$9:$B$1040,D217,[1]Sheet1!$N$9:$N$1040))</f>
        <v>13</v>
      </c>
      <c r="P217" s="12">
        <v>5709608</v>
      </c>
      <c r="Q217" s="10"/>
    </row>
    <row r="218" spans="1:17" ht="41.4" x14ac:dyDescent="0.25">
      <c r="A218" s="10" t="s">
        <v>526</v>
      </c>
      <c r="B218" s="10" t="s">
        <v>527</v>
      </c>
      <c r="C218" s="10" t="s">
        <v>570</v>
      </c>
      <c r="D218" t="s">
        <v>606</v>
      </c>
      <c r="E218" s="23" t="s">
        <v>617</v>
      </c>
      <c r="F218" s="10" t="s">
        <v>571</v>
      </c>
      <c r="G218" s="10" t="s">
        <v>18</v>
      </c>
      <c r="H218" s="11">
        <v>110</v>
      </c>
      <c r="I218" s="12">
        <v>47732276</v>
      </c>
      <c r="J218" s="11">
        <v>0</v>
      </c>
      <c r="K218" s="12">
        <v>0</v>
      </c>
      <c r="L218" s="11">
        <v>0</v>
      </c>
      <c r="M218" s="12">
        <v>0</v>
      </c>
      <c r="N218" s="11">
        <v>110</v>
      </c>
      <c r="O218">
        <f>IF(D218="","",SUMIF([1]Sheet1!$B$9:$B$1040,D218,[1]Sheet1!$N$9:$N$1040))</f>
        <v>118</v>
      </c>
      <c r="P218" s="12">
        <v>47732276</v>
      </c>
      <c r="Q218" s="10"/>
    </row>
    <row r="219" spans="1:17" ht="41.4" x14ac:dyDescent="0.25">
      <c r="A219" s="10" t="s">
        <v>526</v>
      </c>
      <c r="B219" s="10" t="s">
        <v>527</v>
      </c>
      <c r="C219" s="10" t="s">
        <v>572</v>
      </c>
      <c r="D219" t="s">
        <v>607</v>
      </c>
      <c r="E219" s="23" t="s">
        <v>617</v>
      </c>
      <c r="F219" s="10" t="s">
        <v>573</v>
      </c>
      <c r="G219" s="10" t="s">
        <v>18</v>
      </c>
      <c r="H219" s="11">
        <v>120</v>
      </c>
      <c r="I219" s="12">
        <v>40568272</v>
      </c>
      <c r="J219" s="11">
        <v>0</v>
      </c>
      <c r="K219" s="12">
        <v>0</v>
      </c>
      <c r="L219" s="11">
        <v>0</v>
      </c>
      <c r="M219" s="12">
        <v>0</v>
      </c>
      <c r="N219" s="11">
        <v>120</v>
      </c>
      <c r="O219">
        <f>IF(D219="","",SUMIF([1]Sheet1!$B$9:$B$1040,D219,[1]Sheet1!$N$9:$N$1040))</f>
        <v>121</v>
      </c>
      <c r="P219" s="12">
        <v>40568272</v>
      </c>
      <c r="Q219" s="10"/>
    </row>
    <row r="220" spans="1:17" ht="69" x14ac:dyDescent="0.25">
      <c r="A220" s="10" t="s">
        <v>526</v>
      </c>
      <c r="B220" s="10" t="s">
        <v>527</v>
      </c>
      <c r="C220" s="10" t="s">
        <v>574</v>
      </c>
      <c r="D220" t="s">
        <v>574</v>
      </c>
      <c r="E220" s="23" t="s">
        <v>618</v>
      </c>
      <c r="F220" s="10" t="s">
        <v>575</v>
      </c>
      <c r="G220" s="10" t="s">
        <v>18</v>
      </c>
      <c r="H220" s="11">
        <v>34</v>
      </c>
      <c r="I220" s="12">
        <v>9190537</v>
      </c>
      <c r="J220" s="11">
        <v>0</v>
      </c>
      <c r="K220" s="12">
        <v>0</v>
      </c>
      <c r="L220" s="11">
        <v>0</v>
      </c>
      <c r="M220" s="12">
        <v>0</v>
      </c>
      <c r="N220" s="11">
        <v>34</v>
      </c>
      <c r="O220">
        <f>IF(D220="","",SUMIF([1]Sheet1!$B$9:$B$1040,D220,[1]Sheet1!$N$9:$N$1040))</f>
        <v>33</v>
      </c>
      <c r="P220" s="12">
        <v>9190537</v>
      </c>
      <c r="Q220" s="10"/>
    </row>
    <row r="221" spans="1:17" ht="69" x14ac:dyDescent="0.25">
      <c r="A221" s="10" t="s">
        <v>526</v>
      </c>
      <c r="B221" s="10" t="s">
        <v>527</v>
      </c>
      <c r="C221" s="10" t="s">
        <v>576</v>
      </c>
      <c r="D221" t="s">
        <v>576</v>
      </c>
      <c r="E221" s="23" t="s">
        <v>618</v>
      </c>
      <c r="F221" s="10" t="s">
        <v>577</v>
      </c>
      <c r="G221" s="10" t="s">
        <v>553</v>
      </c>
      <c r="H221" s="11">
        <v>55</v>
      </c>
      <c r="I221" s="12">
        <v>14847977</v>
      </c>
      <c r="J221" s="11">
        <v>0</v>
      </c>
      <c r="K221" s="12">
        <v>0</v>
      </c>
      <c r="L221" s="11">
        <v>0</v>
      </c>
      <c r="M221" s="12">
        <v>0</v>
      </c>
      <c r="N221" s="11">
        <v>55</v>
      </c>
      <c r="O221">
        <f>IF(D221="","",SUMIF([1]Sheet1!$B$9:$B$1040,D221,[1]Sheet1!$N$9:$N$1040))</f>
        <v>23</v>
      </c>
      <c r="P221" s="12">
        <v>14847977</v>
      </c>
      <c r="Q221" s="10"/>
    </row>
    <row r="222" spans="1:17" ht="55.2" x14ac:dyDescent="0.25">
      <c r="A222" s="10" t="s">
        <v>526</v>
      </c>
      <c r="B222" s="10" t="s">
        <v>527</v>
      </c>
      <c r="C222" s="10" t="s">
        <v>578</v>
      </c>
      <c r="D222" t="s">
        <v>578</v>
      </c>
      <c r="E222" s="23" t="s">
        <v>618</v>
      </c>
      <c r="F222" s="10" t="s">
        <v>579</v>
      </c>
      <c r="G222" s="10" t="s">
        <v>18</v>
      </c>
      <c r="H222" s="11">
        <v>27</v>
      </c>
      <c r="I222" s="12">
        <v>7289007</v>
      </c>
      <c r="J222" s="11">
        <v>0</v>
      </c>
      <c r="K222" s="12">
        <v>0</v>
      </c>
      <c r="L222" s="11">
        <v>0</v>
      </c>
      <c r="M222" s="12">
        <v>0</v>
      </c>
      <c r="N222" s="11">
        <v>27</v>
      </c>
      <c r="O222">
        <f>IF(D222="","",SUMIF([1]Sheet1!$B$9:$B$1040,D222,[1]Sheet1!$N$9:$N$1040))</f>
        <v>3</v>
      </c>
      <c r="P222" s="12">
        <v>7289007</v>
      </c>
      <c r="Q222" s="10"/>
    </row>
    <row r="223" spans="1:17" ht="55.2" x14ac:dyDescent="0.25">
      <c r="A223" s="10" t="s">
        <v>526</v>
      </c>
      <c r="B223" s="10" t="s">
        <v>527</v>
      </c>
      <c r="C223" s="10" t="s">
        <v>580</v>
      </c>
      <c r="D223" t="s">
        <v>580</v>
      </c>
      <c r="E223" s="23" t="s">
        <v>618</v>
      </c>
      <c r="F223" s="10" t="s">
        <v>581</v>
      </c>
      <c r="G223" s="10" t="s">
        <v>18</v>
      </c>
      <c r="H223" s="11">
        <v>98</v>
      </c>
      <c r="I223" s="12">
        <v>30673929</v>
      </c>
      <c r="J223" s="11">
        <v>0</v>
      </c>
      <c r="K223" s="12">
        <v>0</v>
      </c>
      <c r="L223" s="11">
        <v>0</v>
      </c>
      <c r="M223" s="12">
        <v>0</v>
      </c>
      <c r="N223" s="11">
        <v>98</v>
      </c>
      <c r="O223">
        <f>IF(D223="","",SUMIF([1]Sheet1!$B$9:$B$1040,D223,[1]Sheet1!$N$9:$N$1040))</f>
        <v>84</v>
      </c>
      <c r="P223" s="12">
        <v>30673929</v>
      </c>
      <c r="Q223" s="10"/>
    </row>
    <row r="224" spans="1:17" ht="55.2" x14ac:dyDescent="0.25">
      <c r="A224" s="10" t="s">
        <v>526</v>
      </c>
      <c r="B224" s="10" t="s">
        <v>527</v>
      </c>
      <c r="C224" s="10" t="s">
        <v>582</v>
      </c>
      <c r="D224" t="s">
        <v>582</v>
      </c>
      <c r="E224" s="23" t="s">
        <v>618</v>
      </c>
      <c r="F224" s="10" t="s">
        <v>583</v>
      </c>
      <c r="G224" s="10" t="s">
        <v>553</v>
      </c>
      <c r="H224" s="11">
        <v>101</v>
      </c>
      <c r="I224" s="12">
        <v>28987211</v>
      </c>
      <c r="J224" s="11">
        <v>0</v>
      </c>
      <c r="K224" s="12">
        <v>0</v>
      </c>
      <c r="L224" s="11">
        <v>0</v>
      </c>
      <c r="M224" s="12">
        <v>0</v>
      </c>
      <c r="N224" s="11">
        <v>101</v>
      </c>
      <c r="O224">
        <f>IF(D224="","",SUMIF([1]Sheet1!$B$9:$B$1040,D224,[1]Sheet1!$N$9:$N$1040))</f>
        <v>24</v>
      </c>
      <c r="P224" s="12">
        <v>28987211</v>
      </c>
      <c r="Q224" s="10"/>
    </row>
    <row r="225" spans="1:17" ht="55.2" hidden="1" x14ac:dyDescent="0.25">
      <c r="A225" s="10" t="s">
        <v>526</v>
      </c>
      <c r="B225" s="10" t="s">
        <v>527</v>
      </c>
      <c r="C225" s="10" t="s">
        <v>584</v>
      </c>
      <c r="D225" t="s">
        <v>584</v>
      </c>
      <c r="E225"/>
      <c r="F225" s="10" t="s">
        <v>585</v>
      </c>
      <c r="G225" s="10" t="s">
        <v>18</v>
      </c>
      <c r="H225" s="11">
        <v>8</v>
      </c>
      <c r="I225" s="12">
        <v>2711414</v>
      </c>
      <c r="J225" s="11">
        <v>0</v>
      </c>
      <c r="K225" s="12">
        <v>0</v>
      </c>
      <c r="L225" s="11">
        <v>0</v>
      </c>
      <c r="M225" s="12">
        <v>0</v>
      </c>
      <c r="N225" s="11">
        <v>8</v>
      </c>
      <c r="O225">
        <f>IF(D225="","",SUMIF([1]Sheet1!$B$9:$B$1040,D225,[1]Sheet1!$N$9:$N$1040))</f>
        <v>5</v>
      </c>
      <c r="P225" s="12">
        <v>2711414</v>
      </c>
      <c r="Q225" s="10"/>
    </row>
    <row r="226" spans="1:17" ht="55.2" hidden="1" x14ac:dyDescent="0.25">
      <c r="A226" s="10" t="s">
        <v>526</v>
      </c>
      <c r="B226" s="10" t="s">
        <v>527</v>
      </c>
      <c r="C226" s="10" t="s">
        <v>586</v>
      </c>
      <c r="D226" t="s">
        <v>586</v>
      </c>
      <c r="E226"/>
      <c r="F226" s="10" t="s">
        <v>587</v>
      </c>
      <c r="G226" s="10" t="s">
        <v>18</v>
      </c>
      <c r="H226" s="11">
        <v>50</v>
      </c>
      <c r="I226" s="12">
        <v>16923002</v>
      </c>
      <c r="J226" s="11">
        <v>0</v>
      </c>
      <c r="K226" s="12">
        <v>0</v>
      </c>
      <c r="L226" s="11">
        <v>0</v>
      </c>
      <c r="M226" s="12">
        <v>0</v>
      </c>
      <c r="N226" s="11">
        <v>50</v>
      </c>
      <c r="O226">
        <f>IF(D226="","",SUMIF([1]Sheet1!$B$9:$B$1040,D226,[1]Sheet1!$N$9:$N$1040))</f>
        <v>41</v>
      </c>
      <c r="P226" s="12">
        <v>16923002</v>
      </c>
      <c r="Q226" s="10"/>
    </row>
    <row r="227" spans="1:17" ht="55.2" hidden="1" x14ac:dyDescent="0.25">
      <c r="A227" s="10" t="s">
        <v>526</v>
      </c>
      <c r="B227" s="10" t="s">
        <v>527</v>
      </c>
      <c r="C227" s="10" t="s">
        <v>588</v>
      </c>
      <c r="D227" t="s">
        <v>588</v>
      </c>
      <c r="E227"/>
      <c r="F227" s="10" t="s">
        <v>589</v>
      </c>
      <c r="G227" s="10" t="s">
        <v>18</v>
      </c>
      <c r="H227" s="11">
        <v>334</v>
      </c>
      <c r="I227" s="12">
        <v>142252023</v>
      </c>
      <c r="J227" s="11">
        <v>0</v>
      </c>
      <c r="K227" s="12">
        <v>0</v>
      </c>
      <c r="L227" s="11">
        <v>0</v>
      </c>
      <c r="M227" s="12">
        <v>0</v>
      </c>
      <c r="N227" s="11">
        <v>334</v>
      </c>
      <c r="O227">
        <f>IF(D227="","",SUMIF([1]Sheet1!$B$9:$B$1040,D227,[1]Sheet1!$N$9:$N$1040))</f>
        <v>111</v>
      </c>
      <c r="P227" s="12">
        <v>142252023</v>
      </c>
      <c r="Q227" s="10"/>
    </row>
    <row r="228" spans="1:17" ht="55.2" hidden="1" x14ac:dyDescent="0.25">
      <c r="A228" s="10" t="s">
        <v>526</v>
      </c>
      <c r="B228" s="10" t="s">
        <v>527</v>
      </c>
      <c r="C228" s="10" t="s">
        <v>590</v>
      </c>
      <c r="D228" t="s">
        <v>590</v>
      </c>
      <c r="E228"/>
      <c r="F228" s="10" t="s">
        <v>591</v>
      </c>
      <c r="G228" s="10" t="s">
        <v>18</v>
      </c>
      <c r="H228" s="11">
        <v>95</v>
      </c>
      <c r="I228" s="12">
        <v>33846004</v>
      </c>
      <c r="J228" s="11">
        <v>0</v>
      </c>
      <c r="K228" s="12">
        <v>0</v>
      </c>
      <c r="L228" s="11">
        <v>0</v>
      </c>
      <c r="M228" s="12">
        <v>0</v>
      </c>
      <c r="N228" s="11">
        <v>95</v>
      </c>
      <c r="O228">
        <f>IF(D228="","",SUMIF([1]Sheet1!$B$9:$B$1040,D228,[1]Sheet1!$N$9:$N$1040))</f>
        <v>96</v>
      </c>
      <c r="P228" s="12">
        <v>33846004</v>
      </c>
      <c r="Q228" s="10"/>
    </row>
    <row r="229" spans="1:17" ht="55.2" x14ac:dyDescent="0.25">
      <c r="A229" s="10" t="s">
        <v>526</v>
      </c>
      <c r="B229" s="10" t="s">
        <v>527</v>
      </c>
      <c r="C229" s="10" t="s">
        <v>592</v>
      </c>
      <c r="D229" t="s">
        <v>593</v>
      </c>
      <c r="E229" s="3" t="s">
        <v>619</v>
      </c>
      <c r="F229" s="10" t="s">
        <v>594</v>
      </c>
      <c r="G229" s="10" t="s">
        <v>18</v>
      </c>
      <c r="H229" s="11">
        <v>500</v>
      </c>
      <c r="I229" s="12">
        <v>433699733</v>
      </c>
      <c r="J229" s="11">
        <v>0</v>
      </c>
      <c r="K229" s="12">
        <v>0</v>
      </c>
      <c r="L229" s="11">
        <v>0</v>
      </c>
      <c r="M229" s="12">
        <v>0</v>
      </c>
      <c r="N229" s="11">
        <v>500</v>
      </c>
      <c r="O229">
        <f>IF(D229="","",SUMIF([1]Sheet1!$B$9:$B$1040,D229,[1]Sheet1!$N$9:$N$1040))</f>
        <v>765</v>
      </c>
      <c r="P229" s="12">
        <v>433699733</v>
      </c>
      <c r="Q229" s="10"/>
    </row>
    <row r="230" spans="1:17" ht="41.4" hidden="1" x14ac:dyDescent="0.25">
      <c r="A230" s="10" t="s">
        <v>526</v>
      </c>
      <c r="B230" s="10" t="s">
        <v>527</v>
      </c>
      <c r="C230" s="10" t="s">
        <v>595</v>
      </c>
      <c r="D230" s="3" t="s">
        <v>596</v>
      </c>
      <c r="F230" s="10" t="s">
        <v>597</v>
      </c>
      <c r="G230" s="10" t="s">
        <v>18</v>
      </c>
      <c r="H230" s="11">
        <v>2</v>
      </c>
      <c r="I230" s="12">
        <v>600000</v>
      </c>
      <c r="J230" s="11">
        <v>0</v>
      </c>
      <c r="K230" s="12">
        <v>0</v>
      </c>
      <c r="L230" s="11">
        <v>0</v>
      </c>
      <c r="M230" s="12">
        <v>0</v>
      </c>
      <c r="N230" s="11">
        <v>2</v>
      </c>
      <c r="O230">
        <f>IF(D230="","",SUMIF([1]Sheet1!$B$9:$B$1040,D230,[1]Sheet1!$N$9:$N$1040))</f>
        <v>0</v>
      </c>
      <c r="P230" s="12">
        <v>600000</v>
      </c>
      <c r="Q230" s="10"/>
    </row>
    <row r="231" spans="1:17" ht="41.4" x14ac:dyDescent="0.25">
      <c r="A231" s="10" t="s">
        <v>526</v>
      </c>
      <c r="B231" s="10" t="s">
        <v>527</v>
      </c>
      <c r="C231" s="10" t="s">
        <v>598</v>
      </c>
      <c r="D231" t="s">
        <v>598</v>
      </c>
      <c r="E231" t="s">
        <v>598</v>
      </c>
      <c r="F231" s="10" t="s">
        <v>599</v>
      </c>
      <c r="G231" s="10" t="s">
        <v>18</v>
      </c>
      <c r="H231" s="11">
        <v>246</v>
      </c>
      <c r="I231" s="12">
        <v>128327923</v>
      </c>
      <c r="J231" s="11">
        <v>0</v>
      </c>
      <c r="K231" s="12">
        <v>0</v>
      </c>
      <c r="L231" s="11">
        <v>0</v>
      </c>
      <c r="M231" s="12">
        <v>0</v>
      </c>
      <c r="N231" s="11">
        <v>246</v>
      </c>
      <c r="O231">
        <f>IF(D231="","",SUMIF([1]Sheet1!$B$9:$B$1040,D231,[1]Sheet1!$N$9:$N$1040))</f>
        <v>164</v>
      </c>
      <c r="P231" s="12">
        <v>128327923</v>
      </c>
      <c r="Q231" s="10"/>
    </row>
    <row r="232" spans="1:17" ht="55.2" hidden="1" x14ac:dyDescent="0.25">
      <c r="A232" s="10" t="s">
        <v>526</v>
      </c>
      <c r="B232" s="10" t="s">
        <v>527</v>
      </c>
      <c r="C232" s="10" t="s">
        <v>600</v>
      </c>
      <c r="D232" t="s">
        <v>600</v>
      </c>
      <c r="E232"/>
      <c r="F232" s="10" t="s">
        <v>601</v>
      </c>
      <c r="G232" s="10" t="s">
        <v>18</v>
      </c>
      <c r="H232" s="11">
        <v>379</v>
      </c>
      <c r="I232" s="12">
        <v>194231753</v>
      </c>
      <c r="J232" s="11">
        <v>0</v>
      </c>
      <c r="K232" s="12">
        <v>0</v>
      </c>
      <c r="L232" s="11">
        <v>0</v>
      </c>
      <c r="M232" s="12">
        <v>0</v>
      </c>
      <c r="N232" s="11">
        <v>379</v>
      </c>
      <c r="O232">
        <f>IF(D232="","",SUMIF([1]Sheet1!$B$9:$B$1040,D232,[1]Sheet1!$N$9:$N$1040))</f>
        <v>588</v>
      </c>
      <c r="P232" s="12">
        <v>194231753</v>
      </c>
      <c r="Q232" s="10"/>
    </row>
    <row r="233" spans="1:17" hidden="1" x14ac:dyDescent="0.25">
      <c r="A233" s="7" t="s">
        <v>602</v>
      </c>
      <c r="B233" s="7"/>
      <c r="C233" s="7"/>
      <c r="F233" s="7"/>
      <c r="G233" s="7"/>
      <c r="H233" s="8">
        <v>134060</v>
      </c>
      <c r="I233" s="9">
        <v>6779105068</v>
      </c>
      <c r="J233" s="8">
        <v>0</v>
      </c>
      <c r="K233" s="9">
        <v>0</v>
      </c>
      <c r="L233" s="8">
        <v>0</v>
      </c>
      <c r="M233" s="9">
        <v>0</v>
      </c>
      <c r="N233" s="8">
        <v>134060</v>
      </c>
      <c r="O233" t="str">
        <f>IF(D233="","",SUMIF([1]Sheet1!$B$9:$B$1040,D233,[1]Sheet1!$N$9:$N$1040))</f>
        <v/>
      </c>
      <c r="P233" s="9">
        <v>6779105068</v>
      </c>
      <c r="Q233" s="7"/>
    </row>
  </sheetData>
  <autoFilter ref="A5:Q233" xr:uid="{00000000-0001-0000-0000-000000000000}">
    <filterColumn colId="4">
      <customFilters>
        <customFilter operator="notEqual" val=" "/>
      </customFilters>
    </filterColumn>
  </autoFilter>
  <mergeCells count="13">
    <mergeCell ref="A2:O2"/>
    <mergeCell ref="D4:D5"/>
    <mergeCell ref="I4:J4"/>
    <mergeCell ref="A1:O1"/>
    <mergeCell ref="E4:E5"/>
    <mergeCell ref="G4:H4"/>
    <mergeCell ref="K4:L4"/>
    <mergeCell ref="A3:O3"/>
    <mergeCell ref="M4:N4"/>
    <mergeCell ref="B4:B5"/>
    <mergeCell ref="C4:C5"/>
    <mergeCell ref="A4:A5"/>
    <mergeCell ref="F4:F5"/>
  </mergeCells>
  <pageMargins left="0.39370078740157483" right="0.39370078740157483" top="0.39370078740157483" bottom="0.39370078740157483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Thanh Hậu</cp:lastModifiedBy>
  <dcterms:created xsi:type="dcterms:W3CDTF">2026-09-23T03:28:46Z</dcterms:created>
  <dcterms:modified xsi:type="dcterms:W3CDTF">2026-09-25T06:32:07Z</dcterms:modified>
</cp:coreProperties>
</file>